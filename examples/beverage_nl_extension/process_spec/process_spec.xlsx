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500654ac674b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艺流程" sheetId="1" r:id="R5d1a17e92a9b4ba4"/>
    <x:sheet xmlns:r="http://schemas.openxmlformats.org/officeDocument/2006/relationships" name="250mL动作" sheetId="2" r:id="R6bfd4b8e5a2b4cce"/>
    <x:sheet xmlns:r="http://schemas.openxmlformats.org/officeDocument/2006/relationships" name="配方参数" sheetId="3" r:id="R55441764d056458f"/>
    <x:sheet xmlns:r="http://schemas.openxmlformats.org/officeDocument/2006/relationships" name="配方路线" sheetId="4" r:id="Rd4452333a4064e1c"/>
    <x:sheet xmlns:r="http://schemas.openxmlformats.org/officeDocument/2006/relationships" name="生产点位" sheetId="5" r:id="R5a907bf8a24e4865"/>
    <x:sheet xmlns:r="http://schemas.openxmlformats.org/officeDocument/2006/relationships" name="设备接口" sheetId="6" r:id="Rbd6637ff7ee64a67"/>
    <x:sheet xmlns:r="http://schemas.openxmlformats.org/officeDocument/2006/relationships" name="操作接口" sheetId="7" r:id="R7438e5208a404939"/>
    <x:sheet xmlns:r="http://schemas.openxmlformats.org/officeDocument/2006/relationships" name="通用子过程" sheetId="8" r:id="R3fd0abfa81e64b22"/>
    <x:sheet xmlns:r="http://schemas.openxmlformats.org/officeDocument/2006/relationships" name="条件与异常" sheetId="9" r:id="Refad19eed75a4b35"/>
    <x:sheet xmlns:r="http://schemas.openxmlformats.org/officeDocument/2006/relationships" name="增量对比" sheetId="10" r:id="Rdec15fbd476943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%"/>
  </x:numFmts>
  <x:fonts count="5">
    <x:font>
      <x:sz val="11"/>
      <x:name val="Carlito"/>
    </x:font>
    <x:font>
      <x:sz val="10"/>
      <x:color rgb="FF243447"/>
      <x:name val="Arial"/>
    </x:font>
    <x:font>
      <x:b/>
      <x:sz val="15"/>
      <x:color rgb="FF203E60"/>
      <x:name val="Arial"/>
    </x:font>
    <x:font>
      <x:i/>
      <x:sz val="10"/>
      <x:color rgb="FF596879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E60"/>
      </x:patternFill>
    </x:fill>
    <x:fill>
      <x:patternFill patternType="solid">
        <x:fgColor rgb="FFF1F4F7"/>
      </x:patternFill>
    </x:fill>
  </x:fills>
  <x:borders count="5">
    <x:border/>
    <x:border>
      <x:bottom style="thin">
        <x:color rgb="FF8FA1B4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horizontal="right" vertical="top" wrapText="1"/>
    </x:xf>
    <x:xf numFmtId="200" fontId="1" fillId="3" borderId="0" xfId="0" applyNumberFormat="1" applyFont="1" applyFill="1" applyBorder="1" applyAlignment="1">
      <x:alignment horizontal="right" vertical="top" wrapText="1"/>
    </x:xf>
    <x:xf numFmtId="0" fontId="1" fillId="3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horizontal="right" vertical="top" wrapText="1"/>
    </x:xf>
    <x:xf numFmtId="201" fontId="1" fillId="3" borderId="0" xfId="0" applyNumberFormat="1" applyFont="1" applyFill="1" applyBorder="1" applyAlignment="1">
      <x:alignment horizontal="righ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82014975794eaa" /><Relationship Type="http://schemas.openxmlformats.org/officeDocument/2006/relationships/theme" Target="/xl/theme/theme1.xml" Id="R6e43d79217b34bb9" /><Relationship Type="http://schemas.openxmlformats.org/officeDocument/2006/relationships/sharedStrings" Target="/xl/sharedStrings.xml" Id="Rd5ecc21358284a97" /><Relationship Type="http://schemas.openxmlformats.org/officeDocument/2006/relationships/worksheet" Target="/xl/worksheets/sheet1.xml" Id="R5d1a17e92a9b4ba4" /><Relationship Type="http://schemas.openxmlformats.org/officeDocument/2006/relationships/worksheet" Target="/xl/worksheets/sheet2.xml" Id="R6bfd4b8e5a2b4cce" /><Relationship Type="http://schemas.openxmlformats.org/officeDocument/2006/relationships/worksheet" Target="/xl/worksheets/sheet3.xml" Id="R55441764d056458f" /><Relationship Type="http://schemas.openxmlformats.org/officeDocument/2006/relationships/worksheet" Target="/xl/worksheets/sheet4.xml" Id="Rd4452333a4064e1c" /><Relationship Type="http://schemas.openxmlformats.org/officeDocument/2006/relationships/worksheet" Target="/xl/worksheets/sheet5.xml" Id="R5a907bf8a24e4865" /><Relationship Type="http://schemas.openxmlformats.org/officeDocument/2006/relationships/worksheet" Target="/xl/worksheets/sheet6.xml" Id="Rbd6637ff7ee64a67" /><Relationship Type="http://schemas.openxmlformats.org/officeDocument/2006/relationships/worksheet" Target="/xl/worksheets/sheet7.xml" Id="R7438e5208a404939" /><Relationship Type="http://schemas.openxmlformats.org/officeDocument/2006/relationships/worksheet" Target="/xl/worksheets/sheet8.xml" Id="R3fd0abfa81e64b22" /><Relationship Type="http://schemas.openxmlformats.org/officeDocument/2006/relationships/worksheet" Target="/xl/worksheets/sheet9.xml" Id="Refad19eed75a4b35" /><Relationship Type="http://schemas.openxmlformats.org/officeDocument/2006/relationships/worksheet" Target="/xl/worksheets/sheet10.xml" Id="Rdec15fbd47694318" /></Relationships>
</file>

<file path=xl/tables/table1.xml><?xml version="1.0" encoding="utf-8"?>
<x:table xmlns:x="http://schemas.openxmlformats.org/spreadsheetml/2006/main" id="1" name="ProcessTable1" displayName="ProcessTable1" ref="A5:J17" headerRowCount="1" totalsRowCount="0" totalsRowShown="0">
  <x:autoFilter ref="A5:J17"/>
  <x:tableColumns count="10">
    <x:tableColumn id="1" name="阶段"/>
    <x:tableColumn id="2" name="工序"/>
    <x:tableColumn id="3" name="执行频次"/>
    <x:tableColumn id="4" name="点位路线字段"/>
    <x:tableColumn id="5" name="按顺序执行的动作"/>
    <x:tableColumn id="6" name="成功/互锁条件"/>
    <x:tableColumn id="7" name="等待/轮询"/>
    <x:tableColumn id="8" name="失败代码"/>
    <x:tableColumn id="9" name="范围与说明"/>
    <x:tableColumn id="10" name="定义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cessTable2" displayName="ProcessTable2" ref="A5:M575" headerRowCount="1" totalsRowCount="0" totalsRowShown="0">
  <x:autoFilter ref="A5:M575"/>
  <x:tableColumns count="13">
    <x:tableColumn id="1" name="配方"/>
    <x:tableColumn id="2" name="阶段"/>
    <x:tableColumn id="3" name="步序"/>
    <x:tableColumn id="4" name="类型"/>
    <x:tableColumn id="5" name="执行频次"/>
    <x:tableColumn id="6" name="设备"/>
    <x:tableColumn id="7" name="生产点位ID"/>
    <x:tableColumn id="8" name="目标/协议/字段"/>
    <x:tableColumn id="9" name="动作"/>
    <x:tableColumn id="10" name="等待ms/规则"/>
    <x:tableColumn id="11" name="成功条件"/>
    <x:tableColumn id="12" name="失败代码"/>
    <x:tableColumn id="13" name="来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cessTable3" displayName="ProcessTable3" ref="A5:O14" headerRowCount="1" totalsRowCount="0" totalsRowShown="0">
  <x:autoFilter ref="A5:O14"/>
  <x:tableColumns count="15">
    <x:tableColumn id="1" name="配方"/>
    <x:tableColumn id="2" name="口味"/>
    <x:tableColumn id="3" name="规格"/>
    <x:tableColumn id="4" name="容量mL"/>
    <x:tableColumn id="5" name="流量mL/s"/>
    <x:tableColumn id="6" name="灌装时间ms"/>
    <x:tableColumn id="7" name="批数"/>
    <x:tableColumn id="8" name="每批数量"/>
    <x:tableColumn id="9" name="总数量"/>
    <x:tableColumn id="10" name="总容量mL"/>
    <x:tableColumn id="11" name="封盖模式"/>
    <x:tableColumn id="12" name="入料PR"/>
    <x:tableColumn id="13" name="封盖PR"/>
    <x:tableColumn id="14" name="出料PR"/>
    <x:tableColumn id="15" name="来源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cessTable4" displayName="ProcessTable4" ref="A5:J113" headerRowCount="1" totalsRowCount="0" totalsRowShown="0">
  <x:autoFilter ref="A5:J113"/>
  <x:tableColumns count="10">
    <x:tableColumn id="1" name="配方"/>
    <x:tableColumn id="2" name="路线字段"/>
    <x:tableColumn id="3" name="生产点位ID"/>
    <x:tableColumn id="4" name="生产点位名"/>
    <x:tableColumn id="5" name="X PR"/>
    <x:tableColumn id="6" name="Y1 PR"/>
    <x:tableColumn id="7" name="Y2 PR"/>
    <x:tableColumn id="8" name="Z PR"/>
    <x:tableColumn id="9" name="工位选择"/>
    <x:tableColumn id="10" name="来源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ocessTable5" displayName="ProcessTable5" ref="A5:I54" headerRowCount="1" totalsRowCount="0" totalsRowShown="0">
  <x:autoFilter ref="A5:I54"/>
  <x:tableColumns count="9">
    <x:tableColumn id="1" name="点位ID"/>
    <x:tableColumn id="2" name="点位名"/>
    <x:tableColumn id="3" name="X PR"/>
    <x:tableColumn id="4" name="Y1 PR"/>
    <x:tableColumn id="5" name="Y2 PR"/>
    <x:tableColumn id="6" name="Z PR"/>
    <x:tableColumn id="7" name="来源类型"/>
    <x:tableColumn id="8" name="被哪些配方字段使用"/>
    <x:tableColumn id="9" name="来源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ocessTable6" displayName="ProcessTable6" ref="A5:F26" headerRowCount="1" totalsRowCount="0" totalsRowShown="0">
  <x:autoFilter ref="A5:F26"/>
  <x:tableColumns count="6">
    <x:tableColumn id="1" name="设备ID"/>
    <x:tableColumn id="2" name="作用"/>
    <x:tableColumn id="3" name="端口"/>
    <x:tableColumn id="4" name="站地址"/>
    <x:tableColumn id="5" name="协议"/>
    <x:tableColumn id="6" name="来源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rocessTable7" displayName="ProcessTable7" ref="A5:J61" headerRowCount="1" totalsRowCount="0" totalsRowShown="0">
  <x:autoFilter ref="A5:J61"/>
  <x:tableColumns count="10">
    <x:tableColumn id="1" name="L1文件名"/>
    <x:tableColumn id="2" name="动作类型"/>
    <x:tableColumn id="3" name="参数定义"/>
    <x:tableColumn id="4" name="请求PDU"/>
    <x:tableColumn id="5" name="解码/计算"/>
    <x:tableColumn id="6" name="预期回显"/>
    <x:tableColumn id="7" name="使用的L2节点"/>
    <x:tableColumn id="8" name="L2判断"/>
    <x:tableColumn id="9" name="L2超时ms"/>
    <x:tableColumn id="10" name="来源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rocessTable8" displayName="ProcessTable8" ref="A5:F25" headerRowCount="1" totalsRowCount="0" totalsRowShown="0">
  <x:autoFilter ref="A5:F25"/>
  <x:tableColumns count="6">
    <x:tableColumn id="1" name="L3文件"/>
    <x:tableColumn id="2" name="参数契约"/>
    <x:tableColumn id="3" name="模式"/>
    <x:tableColumn id="4" name="循环条件"/>
    <x:tableColumn id="5" name="作用/顺序"/>
    <x:tableColumn id="6" name="来源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rocessTable9" displayName="ProcessTable9" ref="A5:G31" headerRowCount="1" totalsRowCount="0" totalsRowShown="0">
  <x:autoFilter ref="A5:G31"/>
  <x:tableColumns count="7">
    <x:tableColumn id="1" name="类别/阶段"/>
    <x:tableColumn id="2" name="检查对象"/>
    <x:tableColumn id="3" name="成功/预期结果"/>
    <x:tableColumn id="4" name="时间要求"/>
    <x:tableColumn id="5" name="错误码"/>
    <x:tableColumn id="6" name="处置/边界"/>
    <x:tableColumn id="7" name="来源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rocessTable10" displayName="ProcessTable10" ref="A5:E9" headerRowCount="1" totalsRowCount="0" totalsRowShown="0">
  <x:autoFilter ref="A5:E9"/>
  <x:tableColumns count="5">
    <x:tableColumn id="1" name="对象"/>
    <x:tableColumn id="2" name="原始JSON"/>
    <x:tableColumn id="3" name="四层配置"/>
    <x:tableColumn id="4" name="减少比例"/>
    <x:tableColumn id="5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e11d01c0cf4b7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eb2f13e562e40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6ca69414e9c43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f9f5da52c3c42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2180140013042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c6d5e446e4849b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e8104f8438448f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f02c87fc7b5a469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6fe01d6340a94c6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7710fca29f624687" /></Relationships>
</file>

<file path=xl/worksheets/sheet1.xml><?xml version="1.0" encoding="utf-8"?>
<x:worksheet xmlns:x="http://schemas.openxmlformats.org/spreadsheetml/2006/main">
  <x:sheetPr>
    <x:tabColor rgb="FF203E60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6.880000114440918" hidden="0" customWidth="1"/>
    <x:col min="2" max="2" width="18.1299991607666" hidden="0" customWidth="1"/>
    <x:col min="3" max="3" width="23.1299991607666" hidden="0" customWidth="1"/>
    <x:col min="4" max="4" width="30" hidden="0" customWidth="1"/>
    <x:col min="5" max="5" width="76.25" hidden="0" customWidth="1"/>
    <x:col min="6" max="6" width="57.5" hidden="0" customWidth="1"/>
    <x:col min="7" max="7" width="42.5" hidden="0" customWidth="1"/>
    <x:col min="8" max="8" width="42.5" hidden="0" customWidth="1"/>
    <x:col min="9" max="9" width="51.25" hidden="0" customWidth="1"/>
    <x:col min="10" max="10" width="43.75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5.5" customHeight="1">
      <x:c r="A2" s="4" t="str">
        <x:v>250 mL扩展所继承的完整十二阶段工艺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 ht="21" customHeight="1">
      <x:c r="A3" s="6" t="str">
        <x:v>01/11/12每配方一次，02–10每瓶一次；两批×六瓶是现有L3固定循环。成功条件与错误处置属于模拟模型。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1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1.5" customHeight="1">
      <x:c r="A5" s="11" t="str">
        <x:v>阶段</x:v>
      </x:c>
      <x:c r="B5" s="12" t="str">
        <x:v>工序</x:v>
      </x:c>
      <x:c r="C5" s="12" t="str">
        <x:v>执行频次</x:v>
      </x:c>
      <x:c r="D5" s="12" t="str">
        <x:v>点位路线字段</x:v>
      </x:c>
      <x:c r="E5" s="12" t="str">
        <x:v>按顺序执行的动作</x:v>
      </x:c>
      <x:c r="F5" s="12" t="str">
        <x:v>成功/互锁条件</x:v>
      </x:c>
      <x:c r="G5" s="12" t="str">
        <x:v>等待/轮询</x:v>
      </x:c>
      <x:c r="H5" s="12" t="str">
        <x:v>失败代码</x:v>
      </x:c>
      <x:c r="I5" s="12" t="str">
        <x:v>范围与说明</x:v>
      </x:c>
      <x:c r="J5" s="13" t="str">
        <x:v>定义来源</x:v>
      </x:c>
    </x:row>
    <x:row r="6" ht="34.5" customHeight="1">
      <x:c r="A6" s="17" t="n">
        <x:v>1</x:v>
      </x:c>
      <x:c r="B6" s="15" t="str">
        <x:v>初始化</x:v>
      </x:c>
      <x:c r="C6" s="15" t="str">
        <x:v>每配方一次；位于2×6生产循环前</x:v>
      </x:c>
      <x:c r="D6" s="15" t="str">
        <x:v>无配方点位移动；显式触发X/Y1/Y2/Z各自PR0</x:v>
      </x:c>
      <x:c r="E6" s="15" t="str">
        <x:v>关闭三个灌装头、夹爪、供盖器、冲洗阀、CIP阀/排水阀及Relay 0x0008–0x000E；四定位电机PR0；轮询完成；保存last_*_pr=0；读坐标并更新UI；报警检查；缓存运行状态；稳定1秒。</x:v>
      </x:c>
      <x:c r="F6" s="15" t="str">
        <x:v>四轴完成位=1，报警寄存器0x2203均为0</x:v>
      </x:c>
      <x:c r="G6" s="15" t="str">
        <x:v>四轴完成轮询20ms/4000ms；显式等待1000ms</x:v>
      </x:c>
      <x:c r="H6" s="15" t="str">
        <x:v>HOME_TIMEOUT；X_ALARM/Y_ALARM/Y_ALARM_Y2/Z_ALARM</x:v>
      </x:c>
      <x:c r="I6" s="15" t="str">
        <x:v>预置PR0移动，不是硬件限位寻零。</x:v>
      </x:c>
      <x:c r="J6" s="15" t="str">
        <x:v>candidate:layered/L3_group/step_01_system_initialization.group.json</x:v>
      </x:c>
    </x:row>
    <x:row r="7" ht="34.5" customHeight="1">
      <x:c r="A7" s="18" t="n">
        <x:v>2</x:v>
      </x:c>
      <x:c r="B7" s="19" t="str">
        <x:v>空瓶上料与夹取</x:v>
      </x:c>
      <x:c r="C7" s="19" t="str">
        <x:v>每瓶一次；每配方12次</x:v>
      </x:c>
      <x:c r="D7" s="19" t="str">
        <x:v>empty_entry → empty_work</x:v>
      </x:c>
      <x:c r="E7" s="19" t="str">
        <x:v>Relay推瓶输出0x0008开；Infeed PR=infeed_pr；完成后确认上料BottleSensor 0x0034；关推瓶；先入空瓶entry再work；Gripper线圈0x0000开；确认抓取0x0041。</x:v>
      </x:c>
      <x:c r="F7" s="19" t="str">
        <x:v>上料传感器=1且抓取传感器=1</x:v>
      </x:c>
      <x:c r="G7" s="19" t="str">
        <x:v>Infeed20ms/4000ms；上料100ms/5000ms；抓取50ms/3000ms；每次move四轴20ms/4000ms</x:v>
      </x:c>
      <x:c r="H7" s="19" t="str">
        <x:v>EMPTY_FEED_TIMEOUT；BOTTLE_SENSOR_TIMEOUT；PICK_TIMEOUT；MOTION_TIMEOUT</x:v>
      </x:c>
      <x:c r="I7" s="19" t="str">
        <x:v>夹爪在此夹住瓶子，直到阶段10松夹。</x:v>
      </x:c>
      <x:c r="J7" s="19" t="str">
        <x:v>candidate:layered/L3_group/step_02_empty_bottle_feeding.group.json</x:v>
      </x:c>
    </x:row>
    <x:row r="8" ht="34.5" customHeight="1">
      <x:c r="A8" s="17" t="n">
        <x:v>3</x:v>
      </x:c>
      <x:c r="B8" s="15" t="str">
        <x:v>瓶位确认</x:v>
      </x:c>
      <x:c r="C8" s="15" t="str">
        <x:v>每瓶一次；每配方12次</x:v>
      </x:c>
      <x:c r="D8" s="15" t="str">
        <x:v>保持empty_work，不新增移动</x:v>
      </x:c>
      <x:c r="E8" s="15" t="str">
        <x:v>确认ContainerSensor FC04 0x0001；逐路确认BottleSensor 0x0034–0x0037并缓存；读取累计产量FlowMeter0x0020；UI BottleState=all ready。</x:v>
      </x:c>
      <x:c r="F8" s="15" t="str">
        <x:v>ContainerSensor及四路状态均为1</x:v>
      </x:c>
      <x:c r="G8" s="15" t="str">
        <x:v>容器20ms/2000ms；四路瓶位各50ms/3000ms</x:v>
      </x:c>
      <x:c r="H8" s="15" t="str">
        <x:v>NO_CONTAINER；POS1_TIMEOUT/POS2_TIMEOUT/POS3_TIMEOUT/POS4_TIMEOUT</x:v>
      </x:c>
      <x:c r="I8" s="15" t="str">
        <x:v>四路信号，不是四个需要搬运到的工位。</x:v>
      </x:c>
      <x:c r="J8" s="15" t="str">
        <x:v>candidate:layered/L3_group/step_03_bottle_position_detection.group.json</x:v>
      </x:c>
    </x:row>
    <x:row r="9" ht="34.5" customHeight="1">
      <x:c r="A9" s="18" t="n">
        <x:v>4</x:v>
      </x:c>
      <x:c r="B9" s="19" t="str">
        <x:v>瓶内冲洗</x:v>
      </x:c>
      <x:c r="C9" s="19" t="str">
        <x:v>每瓶一次；每配方12次</x:v>
      </x:c>
      <x:c r="D9" s="19" t="str">
        <x:v>empty_entry → rinse_entry → rinse_work → rinse_entry</x:v>
      </x:c>
      <x:c r="E9" s="19" t="str">
        <x:v>抬升到空瓶entry；转冲洗entry再下降work；冲洗阀0x0012开5s后关；压力检查0x0010&gt;=0.2MPa；消毒阀CIP0x0013开3s后关；排水阀CIP0x0014开3s后关；UI WashState=done；抬升至rinse_entry。</x:v>
      </x:c>
      <x:c r="F9" s="19" t="str">
        <x:v>实际开阀时长分别&gt;=5000/3000/3000ms；压力&gt;=0.2MPa；保持夹持且位于冲洗work</x:v>
      </x:c>
      <x:c r="G9" s="19" t="str">
        <x:v>显式等待5000+3000+3000ms；移动完成轮询20ms/4000ms</x:v>
      </x:c>
      <x:c r="H9" s="19" t="str">
        <x:v>RINSE_PRESSURE_LOW；MOTION_TIMEOUT；模拟模型另检RINSE_DURATION/RINSE_SEQUENCE/PROCESS_POSITION</x:v>
      </x:c>
      <x:c r="I9" s="19" t="str">
        <x:v>这些时长/阈值是已有模拟案例工程输入，不是由250mL容积推导或物理标定。</x:v>
      </x:c>
      <x:c r="J9" s="19" t="str">
        <x:v>candidate:layered/L3_group/step_04_in_bottle_rinsing.group.json</x:v>
      </x:c>
    </x:row>
    <x:row r="10" ht="34.5" customHeight="1">
      <x:c r="A10" s="17" t="n">
        <x:v>5</x:v>
      </x:c>
      <x:c r="B10" s="15" t="str">
        <x:v>灌装定位</x:v>
      </x:c>
      <x:c r="C10" s="15" t="str">
        <x:v>每瓶一次；每配方12次</x:v>
      </x:c>
      <x:c r="D10" s="15" t="str">
        <x:v>fill_entry → fill_work；口味决定fill点位</x:v>
      </x:c>
      <x:c r="E10" s="15" t="str">
        <x:v>先到选定口味灌装entry再work；BottleSensor0x0042–0x0045逐路检查到位。</x:v>
      </x:c>
      <x:c r="F10" s="15" t="str">
        <x:v>瓶已完成冲洗；四路灌装位置状态=1；选择配方对应灌装头</x:v>
      </x:c>
      <x:c r="G10" s="15" t="str">
        <x:v>四路各50ms/3000ms；移动20ms/4000ms</x:v>
      </x:c>
      <x:c r="H10" s="15" t="str">
        <x:v>FILL1_POS_TIMEOUT/FILL2_POS_TIMEOUT/FILL3_POS_TIMEOUT/FILL4_POS_TIMEOUT；MOTION_TIMEOUT</x:v>
      </x:c>
      <x:c r="I10" s="15" t="str">
        <x:v>三口味分别OrangeFill/AppleFill/GrapeFill，按配方运行一个灌装头。</x:v>
      </x:c>
      <x:c r="J10" s="15" t="str">
        <x:v>candidate:layered/L3_group/step_05_filling_positioning.group.json</x:v>
      </x:c>
    </x:row>
    <x:row r="11" ht="47.25" customHeight="1">
      <x:c r="A11" s="18" t="n">
        <x:v>6</x:v>
      </x:c>
      <x:c r="B11" s="19" t="str">
        <x:v>定量灌装</x:v>
      </x:c>
      <x:c r="C11" s="19" t="str">
        <x:v>每瓶一次；每配方12次</x:v>
      </x:c>
      <x:c r="D11" s="19" t="str">
        <x:v>保持fill_work</x:v>
      </x:c>
      <x:c r="E11" s="19" t="str">
        <x:v>清FlowMeter0x0001；给fill_device写容量0x0010及灌装时间0x0011；开灌装头线圈0x0000；等待完成；检查FlowMeter0x0000&gt;=volume_ml；确认液位0x0038；关灌装头；4次PressureSensor0x0012&gt;=0.1MPa；缓存流量及头部0x0012实灌量；更新UI。</x:v>
      </x:c>
      <x:c r="F11" s="19" t="str">
        <x:v>配方容量250mL；灌装时长橙1250/苹果1389/葡萄1137ms；累计量&gt;=250；液位=1；4次压力&gt;=0.1MPa</x:v>
      </x:c>
      <x:c r="G11" s="19" t="str">
        <x:v>灌装完成20ms/20000ms；液位50ms/8000ms；4次压力检查无额外等待</x:v>
      </x:c>
      <x:c r="H11" s="19" t="str">
        <x:v>FILL_TIMEOUT；FLOW_NOT_REACHED；LEVEL_TIMEOUT；FILL_PRESSURE_LOW；COMM_OFFLINE</x:v>
      </x:c>
      <x:c r="I11" s="19" t="str">
        <x:v>已保存旧动作name包含“500ml”，但compareValue实际为配方250；表格应以字段值为准，不能复述过时name。</x:v>
      </x:c>
      <x:c r="J11" s="19" t="str">
        <x:v>candidate:layered/L3_group/step_06_filling.group.json</x:v>
      </x:c>
    </x:row>
    <x:row r="12" ht="34.5" customHeight="1">
      <x:c r="A12" s="17" t="n">
        <x:v>7</x:v>
      </x:c>
      <x:c r="B12" s="15" t="str">
        <x:v>液位复检</x:v>
      </x:c>
      <x:c r="C12" s="15" t="str">
        <x:v>每瓶一次；每配方12次</x:v>
      </x:c>
      <x:c r="D12" s="15" t="str">
        <x:v>保持fill_work，无独立质检点位</x:v>
      </x:c>
      <x:c r="E12" s="15" t="str">
        <x:v>独立轮询LevelSensor0x0038/39/3A/3B并缓存lv1–lv4；CheckState=qualified。</x:v>
      </x:c>
      <x:c r="F12" s="15" t="str">
        <x:v>四路液位均为1，模拟器记录4路已检查才允许封口</x:v>
      </x:c>
      <x:c r="G12" s="15" t="str">
        <x:v>每路50ms/3000ms</x:v>
      </x:c>
      <x:c r="H12" s="15" t="str">
        <x:v>RECHECK1_FAIL/RECHECK2_FAIL/RECHECK3_FAIL/RECHECK4_FAIL；模型另检LEVEL_NOT_VERIFIED</x:v>
      </x:c>
      <x:c r="I12" s="15" t="str">
        <x:v>属于在线液位质检；无视觉、称重、泄漏测试、坏品分拣或独立质检搬运。</x:v>
      </x:c>
      <x:c r="J12" s="15" t="str">
        <x:v>candidate:layered/L3_group/step_07_level_recheck.group.json</x:v>
      </x:c>
    </x:row>
    <x:row r="13" ht="47.25" customHeight="1">
      <x:c r="A13" s="18" t="n">
        <x:v>8</x:v>
      </x:c>
      <x:c r="B13" s="19" t="str">
        <x:v>供盖与封口</x:v>
      </x:c>
      <x:c r="C13" s="19" t="str">
        <x:v>每瓶一次；每配方12次</x:v>
      </x:c>
      <x:c r="D13" s="19" t="str">
        <x:v>fill_entry → closure_entry → closure_work → closure_entry</x:v>
      </x:c>
      <x:c r="E13" s="19" t="str">
        <x:v>抬升离开灌装；去封口entry/work；CapFeeder开；Closure按closure_pr触发；等待完成；Relay0x000B封口输出开3s；读Torque0x0030&gt;=2.0N·m；关封口输出；BottleSensor0x0046盖到位；缓存扭矩；CapFeeder关；抬升。</x:v>
      </x:c>
      <x:c r="F13" s="19" t="str">
        <x:v>闭合状态、四路液位通过、供盖器开启；封口保持&gt;=3000ms且扭矩&gt;=2.0N·m；盖到位=1</x:v>
      </x:c>
      <x:c r="G13" s="19" t="str">
        <x:v>Closure20ms/5000ms；封口显式3000ms；盖到位50ms/3000ms</x:v>
      </x:c>
      <x:c r="H13" s="19" t="str">
        <x:v>CLOSURE_TIMEOUT；TORQUE_LOW；CAP_TIMEOUT；MOTION_TIMEOUT；模型另检CAPPING_DURATION/CLOSURE_SEQUENCE/CLOSURE_MODE</x:v>
      </x:c>
      <x:c r="I13" s="19" t="str">
        <x:v>250mL使用closure_pr=3，closure_mode=screw_small是配方描述；真实机构校准未建模。</x:v>
      </x:c>
      <x:c r="J13" s="19" t="str">
        <x:v>candidate:layered/L3_group/step_08_capping.group.json</x:v>
      </x:c>
    </x:row>
    <x:row r="14" ht="34.5" customHeight="1">
      <x:c r="A14" s="17" t="n">
        <x:v>9</x:v>
      </x:c>
      <x:c r="B14" s="15" t="str">
        <x:v>喷码与贴标</x:v>
      </x:c>
      <x:c r="C14" s="15" t="str">
        <x:v>每瓶一次；每配方12次</x:v>
      </x:c>
      <x:c r="D14" s="15" t="str">
        <x:v>code_entry → code_work → code_entry</x:v>
      </x:c>
      <x:c r="E14" s="15" t="str">
        <x:v>进喷码entry/work；Relay0x000C喷码开/关；0x000D贴标开/关；BottleSensor0x0047完成确认；UI CodeState=done；抬升。</x:v>
      </x:c>
      <x:c r="F14" s="15" t="str">
        <x:v>瓶已封口且扭矩检查通过；喷码先于贴标；完成位=1</x:v>
      </x:c>
      <x:c r="G14" s="15" t="str">
        <x:v>无显式脉冲timer；每次模拟请求5ms使开/关脉冲约5ms；完成确认50ms/3000ms</x:v>
      </x:c>
      <x:c r="H14" s="15" t="str">
        <x:v>CODE_POS_TIMEOUT；MOTION_TIMEOUT；模型另检LABEL_SEQUENCE/LABEL_DURATION</x:v>
      </x:c>
      <x:c r="I14" s="15" t="str">
        <x:v>没有码内容、标签版式或条码视觉检验参数；不能声称完整包装作业。</x:v>
      </x:c>
      <x:c r="J14" s="15" t="str">
        <x:v>candidate:layered/L3_group/step_09_coding_labeling.group.json</x:v>
      </x:c>
    </x:row>
    <x:row r="15" ht="47.25" customHeight="1">
      <x:c r="A15" s="18" t="n">
        <x:v>10</x:v>
      </x:c>
      <x:c r="B15" s="19" t="str">
        <x:v>成品放置与出料</x:v>
      </x:c>
      <x:c r="C15" s="19" t="str">
        <x:v>每瓶一次；每配方12次</x:v>
      </x:c>
      <x:c r="D15" s="19" t="str">
        <x:v>finished_entry → finished_work → finished_entry</x:v>
      </x:c>
      <x:c r="E15" s="19" t="str">
        <x:v>进入成品entry/work；Gripper关以松夹；Relay推瓶0x0008开；Outfeed PR=outfeed_pr；完成并确认BottleSensor0x0040；缓存累计产量；关推瓶；抬升；completed加1并更新UI。</x:v>
      </x:c>
      <x:c r="F15" s="19" t="str">
        <x:v>成品已灌装、封口、液位复检、喷码与贴标；松夹后出料完成位与传感器=1</x:v>
      </x:c>
      <x:c r="G15" s="19" t="str">
        <x:v>Outfeed20ms/4000ms；出料传感器100ms/5000ms；移动20ms/4000ms</x:v>
      </x:c>
      <x:c r="H15" s="19" t="str">
        <x:v>OUTFEED_TIMEOUT；OUT_SENSOR_TIMEOUT；MOTION_TIMEOUT；模型另检UNFINISHED_RELEASE/UNLABELLED_RELEASE/UNLABELLED_OUTPUT</x:v>
      </x:c>
      <x:c r="I15" s="19" t="str">
        <x:v>仅成品放置/出料；没有装箱、封箱、码垛、包装机或包装点位。</x:v>
      </x:c>
      <x:c r="J15" s="19" t="str">
        <x:v>candidate:layered/L3_group/step_10_finished_product_discharge.group.json</x:v>
      </x:c>
    </x:row>
    <x:row r="16" ht="34.5" customHeight="1">
      <x:c r="A16" s="17" t="n">
        <x:v>11</x:v>
      </x:c>
      <x:c r="B16" s="15" t="str">
        <x:v>CIP清洗</x:v>
      </x:c>
      <x:c r="C16" s="15" t="str">
        <x:v>每配方一次；完成全部12瓶后</x:v>
      </x:c>
      <x:c r="D16" s="15" t="str">
        <x:v>不新增生产点位移动；保持最后finished_entry</x:v>
      </x:c>
      <x:c r="E16" s="15" t="str">
        <x:v>CIP0x0013开，Relay泵0x000E开；循环120s；压力0x0010&gt;=0.3MPa；CIP排水0x0014开30s后关；停泵；冲洗阀0x0012开20s后关；关CIP0x0013；UI CIPState=done。</x:v>
      </x:c>
      <x:c r="F16" s="15" t="str">
        <x:v>全部12瓶已出料且无持瓶；循环&gt;=120000ms、排水&gt;=30000ms、清水&gt;=20000ms；压力&gt;=0.3MPa；停泵后清水</x:v>
      </x:c>
      <x:c r="G16" s="15" t="str">
        <x:v>显式120000+30000+20000ms</x:v>
      </x:c>
      <x:c r="H16" s="15" t="str">
        <x:v>CIP_PRESSURE_LOW；模型另检CIP_SEQUENCE/CIP_DURATION/CIP_INCOMPLETE</x:v>
      </x:c>
      <x:c r="I16" s="15" t="str">
        <x:v>模拟清洗顺序和时长检查，不是卫生效果或食品安全验证。</x:v>
      </x:c>
      <x:c r="J16" s="15" t="str">
        <x:v>candidate:layered/L3_group/step_11_cip_cleaning_sanitizing.group.json</x:v>
      </x:c>
    </x:row>
    <x:row r="17" ht="34.5" customHeight="1">
      <x:c r="A17" s="18" t="n">
        <x:v>12</x:v>
      </x:c>
      <x:c r="B17" s="19" t="str">
        <x:v>回原点与待机</x:v>
      </x:c>
      <x:c r="C17" s="19" t="str">
        <x:v>每配方一次；CIP完成后</x:v>
      </x:c>
      <x:c r="D17" s="19" t="str">
        <x:v>显式触发X/Y1/Y2/Z各自PR0</x:v>
      </x:c>
      <x:c r="E17" s="19" t="str">
        <x:v>重复复位所有输出；四轴显式PR0并等待完成；记录last_*_pr=0；刷新位置UI；四轴报警检查；SystemState=standby。</x:v>
      </x:c>
      <x:c r="F17" s="19" t="str">
        <x:v>CIP完成；定位四轴PR0；无待完成动作、无持瓶且所有输出关闭；报警=0</x:v>
      </x:c>
      <x:c r="G17" s="19" t="str">
        <x:v>四轴20ms/4000ms；无额外稳定timer</x:v>
      </x:c>
      <x:c r="H17" s="19" t="str">
        <x:v>HOME_TIMEOUT；X_ALARM/Y_ALARM/Y_ALARM_Y2/Z_ALARM；模型另检FINAL_STATE/HOME_POSITION</x:v>
      </x:c>
      <x:c r="I17" s="19" t="str">
        <x:v>与初始化一样，PR0不受“点号未变化则跳过”优化影响。</x:v>
      </x:c>
      <x:c r="J17" s="19" t="str">
        <x:v>candidate:layered/L3_group/step_12_homing_standby.group.json</x:v>
      </x:c>
    </x:row>
  </x:sheetData>
  <x:pageMargins left="0.7" right="0.7" top="0.75" bottom="0.75" header="0.3" footer="0.3"/>
  <x:tableParts count="1">
    <x:tablePart xmlns:r="http://schemas.openxmlformats.org/officeDocument/2006/relationships" r:id="R36e11d01c0cf4b7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6.8799991607666" hidden="0" customWidth="1"/>
    <x:col min="2" max="2" width="6.880000114440918" hidden="0" customWidth="1"/>
    <x:col min="3" max="3" width="6.880000114440918" hidden="0" customWidth="1"/>
    <x:col min="4" max="4" width="16.8799991607666" hidden="0" customWidth="1"/>
    <x:col min="5" max="5" width="21.25" hidden="0" customWidth="1"/>
    <x:col min="6" max="6" width="22.5" hidden="0" customWidth="1"/>
    <x:col min="7" max="7" width="10.630000114440918" hidden="0" customWidth="1"/>
    <x:col min="8" max="8" width="46.25" hidden="0" customWidth="1"/>
    <x:col min="9" max="9" width="58.75" hidden="0" customWidth="1"/>
    <x:col min="10" max="10" width="31.25" hidden="0" customWidth="1"/>
    <x:col min="11" max="11" width="41.25" hidden="0" customWidth="1"/>
    <x:col min="12" max="12" width="30" hidden="0" customWidth="1"/>
    <x:col min="13" max="13" width="47.5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.5" customHeight="1">
      <x:c r="A2" s="4" t="str">
        <x:v>三个新增配方的完整一次工序动作清单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ht="21" customHeight="1">
      <x:c r="A3" s="6" t="str">
        <x:v>每配方列一次初始化、每瓶阶段02–10、一次CIP和待机；逐瓶动作由L3重复12次，不复制铺开。每次move内部通用逻辑见通用子过程。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1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31.5" customHeight="1">
      <x:c r="A5" s="11" t="str">
        <x:v>配方</x:v>
      </x:c>
      <x:c r="B5" s="12" t="str">
        <x:v>阶段</x:v>
      </x:c>
      <x:c r="C5" s="12" t="str">
        <x:v>步序</x:v>
      </x:c>
      <x:c r="D5" s="12" t="str">
        <x:v>类型</x:v>
      </x:c>
      <x:c r="E5" s="12" t="str">
        <x:v>执行频次</x:v>
      </x:c>
      <x:c r="F5" s="12" t="str">
        <x:v>设备</x:v>
      </x:c>
      <x:c r="G5" s="12" t="str">
        <x:v>生产点位ID</x:v>
      </x:c>
      <x:c r="H5" s="12" t="str">
        <x:v>目标/协议/字段</x:v>
      </x:c>
      <x:c r="I5" s="12" t="str">
        <x:v>动作</x:v>
      </x:c>
      <x:c r="J5" s="12" t="str">
        <x:v>等待ms/规则</x:v>
      </x:c>
      <x:c r="K5" s="12" t="str">
        <x:v>成功条件</x:v>
      </x:c>
      <x:c r="L5" s="12" t="str">
        <x:v>失败代码</x:v>
      </x:c>
      <x:c r="M5" s="13" t="str">
        <x:v>来源</x:v>
      </x:c>
    </x:row>
    <x:row r="6" ht="34.5" customHeight="1">
      <x:c r="A6" s="15" t="str">
        <x:v>orange_small</x:v>
      </x:c>
      <x:c r="B6" s="17" t="n">
        <x:v>1</x:v>
      </x:c>
      <x:c r="C6" s="17" t="n">
        <x:v>1</x:v>
      </x:c>
      <x:c r="D6" s="15" t="str">
        <x:v>legacy</x:v>
      </x:c>
      <x:c r="E6" s="15" t="str">
        <x:v>每配方一次</x:v>
      </x:c>
      <x:c r="F6" s="15" t="str"/>
      <x:c r="G6" s="15" t="str"/>
      <x:c r="H6" s="15" t="str">
        <x:v>stage</x:v>
      </x:c>
      <x:c r="I6" s="15" t="str">
        <x:v>更新UI=01</x:v>
      </x:c>
      <x:c r="J6" s="15" t="str"/>
      <x:c r="K6" s="15" t="str"/>
      <x:c r="L6" s="15" t="str"/>
      <x:c r="M6" s="15" t="str">
        <x:v>candidate:layered/L3_group/step_01_system_initialization.group.json</x:v>
      </x:c>
    </x:row>
    <x:row r="7" ht="34.5" customHeight="1">
      <x:c r="A7" s="19" t="str">
        <x:v>orange_small</x:v>
      </x:c>
      <x:c r="B7" s="18" t="n">
        <x:v>1</x:v>
      </x:c>
      <x:c r="C7" s="18" t="n">
        <x:v>2</x:v>
      </x:c>
      <x:c r="D7" s="19" t="str">
        <x:v>legacy</x:v>
      </x:c>
      <x:c r="E7" s="19" t="str">
        <x:v>每配方一次</x:v>
      </x:c>
      <x:c r="F7" s="19" t="str">
        <x:v>OrangeFill</x:v>
      </x:c>
      <x:c r="G7" s="19" t="str"/>
      <x:c r="H7" s="19" t="str">
        <x:v>05 00 00 00 00</x:v>
      </x:c>
      <x:c r="I7" s="19" t="str">
        <x:v>Write OrangeFill register 0000</x:v>
      </x:c>
      <x:c r="J7" s="19" t="str"/>
      <x:c r="K7" s="19" t="str">
        <x:v>响应回显=05 00 00 00 00</x:v>
      </x:c>
      <x:c r="L7" s="19" t="str"/>
      <x:c r="M7" s="19" t="str">
        <x:v>candidate:layered/L3_group/step_01_system_initialization.group.json</x:v>
      </x:c>
    </x:row>
    <x:row r="8" ht="34.5" customHeight="1">
      <x:c r="A8" s="15" t="str">
        <x:v>orange_small</x:v>
      </x:c>
      <x:c r="B8" s="17" t="n">
        <x:v>1</x:v>
      </x:c>
      <x:c r="C8" s="17" t="n">
        <x:v>3</x:v>
      </x:c>
      <x:c r="D8" s="15" t="str">
        <x:v>legacy</x:v>
      </x:c>
      <x:c r="E8" s="15" t="str">
        <x:v>每配方一次</x:v>
      </x:c>
      <x:c r="F8" s="15" t="str">
        <x:v>AppleFill</x:v>
      </x:c>
      <x:c r="G8" s="15" t="str"/>
      <x:c r="H8" s="15" t="str">
        <x:v>05 00 00 00 00</x:v>
      </x:c>
      <x:c r="I8" s="15" t="str">
        <x:v>Write AppleFill register 0000</x:v>
      </x:c>
      <x:c r="J8" s="15" t="str"/>
      <x:c r="K8" s="15" t="str">
        <x:v>响应回显=05 00 00 00 00</x:v>
      </x:c>
      <x:c r="L8" s="15" t="str"/>
      <x:c r="M8" s="15" t="str">
        <x:v>candidate:layered/L3_group/step_01_system_initialization.group.json</x:v>
      </x:c>
    </x:row>
    <x:row r="9" ht="34.5" customHeight="1">
      <x:c r="A9" s="19" t="str">
        <x:v>orange_small</x:v>
      </x:c>
      <x:c r="B9" s="18" t="n">
        <x:v>1</x:v>
      </x:c>
      <x:c r="C9" s="18" t="n">
        <x:v>4</x:v>
      </x:c>
      <x:c r="D9" s="19" t="str">
        <x:v>legacy</x:v>
      </x:c>
      <x:c r="E9" s="19" t="str">
        <x:v>每配方一次</x:v>
      </x:c>
      <x:c r="F9" s="19" t="str">
        <x:v>GrapeFill</x:v>
      </x:c>
      <x:c r="G9" s="19" t="str"/>
      <x:c r="H9" s="19" t="str">
        <x:v>05 00 00 00 00</x:v>
      </x:c>
      <x:c r="I9" s="19" t="str">
        <x:v>Write GrapeFill register 0000</x:v>
      </x:c>
      <x:c r="J9" s="19" t="str"/>
      <x:c r="K9" s="19" t="str">
        <x:v>响应回显=05 00 00 00 00</x:v>
      </x:c>
      <x:c r="L9" s="19" t="str"/>
      <x:c r="M9" s="19" t="str">
        <x:v>candidate:layered/L3_group/step_01_system_initialization.group.json</x:v>
      </x:c>
    </x:row>
    <x:row r="10" ht="34.5" customHeight="1">
      <x:c r="A10" s="15" t="str">
        <x:v>orange_small</x:v>
      </x:c>
      <x:c r="B10" s="17" t="n">
        <x:v>1</x:v>
      </x:c>
      <x:c r="C10" s="17" t="n">
        <x:v>5</x:v>
      </x:c>
      <x:c r="D10" s="15" t="str">
        <x:v>legacy</x:v>
      </x:c>
      <x:c r="E10" s="15" t="str">
        <x:v>每配方一次</x:v>
      </x:c>
      <x:c r="F10" s="15" t="str">
        <x:v>Gripper</x:v>
      </x:c>
      <x:c r="G10" s="15" t="str"/>
      <x:c r="H10" s="15" t="str">
        <x:v>05 00 00 00 00</x:v>
      </x:c>
      <x:c r="I10" s="15" t="str">
        <x:v>Write Gripper register 0000</x:v>
      </x:c>
      <x:c r="J10" s="15" t="str"/>
      <x:c r="K10" s="15" t="str">
        <x:v>响应回显=05 00 00 00 00</x:v>
      </x:c>
      <x:c r="L10" s="15" t="str"/>
      <x:c r="M10" s="15" t="str">
        <x:v>candidate:layered/L3_group/step_01_system_initialization.group.json</x:v>
      </x:c>
    </x:row>
    <x:row r="11" ht="34.5" customHeight="1">
      <x:c r="A11" s="19" t="str">
        <x:v>orange_small</x:v>
      </x:c>
      <x:c r="B11" s="18" t="n">
        <x:v>1</x:v>
      </x:c>
      <x:c r="C11" s="18" t="n">
        <x:v>6</x:v>
      </x:c>
      <x:c r="D11" s="19" t="str">
        <x:v>legacy</x:v>
      </x:c>
      <x:c r="E11" s="19" t="str">
        <x:v>每配方一次</x:v>
      </x:c>
      <x:c r="F11" s="19" t="str">
        <x:v>CapFeeder</x:v>
      </x:c>
      <x:c r="G11" s="19" t="str"/>
      <x:c r="H11" s="19" t="str">
        <x:v>05 00 00 00 00</x:v>
      </x:c>
      <x:c r="I11" s="19" t="str">
        <x:v>Write CapFeeder register 0000</x:v>
      </x:c>
      <x:c r="J11" s="19" t="str"/>
      <x:c r="K11" s="19" t="str">
        <x:v>响应回显=05 00 00 00 00</x:v>
      </x:c>
      <x:c r="L11" s="19" t="str"/>
      <x:c r="M11" s="19" t="str">
        <x:v>candidate:layered/L3_group/step_01_system_initialization.group.json</x:v>
      </x:c>
    </x:row>
    <x:row r="12" ht="34.5" customHeight="1">
      <x:c r="A12" s="15" t="str">
        <x:v>orange_small</x:v>
      </x:c>
      <x:c r="B12" s="17" t="n">
        <x:v>1</x:v>
      </x:c>
      <x:c r="C12" s="17" t="n">
        <x:v>7</x:v>
      </x:c>
      <x:c r="D12" s="15" t="str">
        <x:v>legacy</x:v>
      </x:c>
      <x:c r="E12" s="15" t="str">
        <x:v>每配方一次</x:v>
      </x:c>
      <x:c r="F12" s="15" t="str">
        <x:v>RinseValve</x:v>
      </x:c>
      <x:c r="G12" s="15" t="str"/>
      <x:c r="H12" s="15" t="str">
        <x:v>05 00 12 00 00</x:v>
      </x:c>
      <x:c r="I12" s="15" t="str">
        <x:v>Write RinseValve register 0012</x:v>
      </x:c>
      <x:c r="J12" s="15" t="str"/>
      <x:c r="K12" s="15" t="str">
        <x:v>响应回显=05 00 12 00 00</x:v>
      </x:c>
      <x:c r="L12" s="15" t="str"/>
      <x:c r="M12" s="15" t="str">
        <x:v>candidate:layered/L3_group/step_01_system_initialization.group.json</x:v>
      </x:c>
    </x:row>
    <x:row r="13" ht="34.5" customHeight="1">
      <x:c r="A13" s="19" t="str">
        <x:v>orange_small</x:v>
      </x:c>
      <x:c r="B13" s="18" t="n">
        <x:v>1</x:v>
      </x:c>
      <x:c r="C13" s="18" t="n">
        <x:v>8</x:v>
      </x:c>
      <x:c r="D13" s="19" t="str">
        <x:v>legacy</x:v>
      </x:c>
      <x:c r="E13" s="19" t="str">
        <x:v>每配方一次</x:v>
      </x:c>
      <x:c r="F13" s="19" t="str">
        <x:v>CIPValve</x:v>
      </x:c>
      <x:c r="G13" s="19" t="str"/>
      <x:c r="H13" s="19" t="str">
        <x:v>05 00 13 00 00</x:v>
      </x:c>
      <x:c r="I13" s="19" t="str">
        <x:v>Write CIPValve register 0013</x:v>
      </x:c>
      <x:c r="J13" s="19" t="str"/>
      <x:c r="K13" s="19" t="str">
        <x:v>响应回显=05 00 13 00 00</x:v>
      </x:c>
      <x:c r="L13" s="19" t="str"/>
      <x:c r="M13" s="19" t="str">
        <x:v>candidate:layered/L3_group/step_01_system_initialization.group.json</x:v>
      </x:c>
    </x:row>
    <x:row r="14" ht="34.5" customHeight="1">
      <x:c r="A14" s="15" t="str">
        <x:v>orange_small</x:v>
      </x:c>
      <x:c r="B14" s="17" t="n">
        <x:v>1</x:v>
      </x:c>
      <x:c r="C14" s="17" t="n">
        <x:v>9</x:v>
      </x:c>
      <x:c r="D14" s="15" t="str">
        <x:v>legacy</x:v>
      </x:c>
      <x:c r="E14" s="15" t="str">
        <x:v>每配方一次</x:v>
      </x:c>
      <x:c r="F14" s="15" t="str">
        <x:v>CIPValve</x:v>
      </x:c>
      <x:c r="G14" s="15" t="str"/>
      <x:c r="H14" s="15" t="str">
        <x:v>05 00 14 00 00</x:v>
      </x:c>
      <x:c r="I14" s="15" t="str">
        <x:v>Write CIPValve register 0014</x:v>
      </x:c>
      <x:c r="J14" s="15" t="str"/>
      <x:c r="K14" s="15" t="str">
        <x:v>响应回显=05 00 14 00 00</x:v>
      </x:c>
      <x:c r="L14" s="15" t="str"/>
      <x:c r="M14" s="15" t="str">
        <x:v>candidate:layered/L3_group/step_01_system_initialization.group.json</x:v>
      </x:c>
    </x:row>
    <x:row r="15" ht="34.5" customHeight="1">
      <x:c r="A15" s="19" t="str">
        <x:v>orange_small</x:v>
      </x:c>
      <x:c r="B15" s="18" t="n">
        <x:v>1</x:v>
      </x:c>
      <x:c r="C15" s="18" t="n">
        <x:v>10</x:v>
      </x:c>
      <x:c r="D15" s="19" t="str">
        <x:v>legacy</x:v>
      </x:c>
      <x:c r="E15" s="19" t="str">
        <x:v>每配方一次</x:v>
      </x:c>
      <x:c r="F15" s="19" t="str">
        <x:v>Relay</x:v>
      </x:c>
      <x:c r="G15" s="19" t="str"/>
      <x:c r="H15" s="19" t="str">
        <x:v>05 00 08 00 00</x:v>
      </x:c>
      <x:c r="I15" s="19" t="str">
        <x:v>Write Relay register 0008</x:v>
      </x:c>
      <x:c r="J15" s="19" t="str"/>
      <x:c r="K15" s="19" t="str">
        <x:v>响应回显=05 00 08 00 00</x:v>
      </x:c>
      <x:c r="L15" s="19" t="str"/>
      <x:c r="M15" s="19" t="str">
        <x:v>candidate:layered/L3_group/step_01_system_initialization.group.json</x:v>
      </x:c>
    </x:row>
    <x:row r="16" ht="34.5" customHeight="1">
      <x:c r="A16" s="15" t="str">
        <x:v>orange_small</x:v>
      </x:c>
      <x:c r="B16" s="17" t="n">
        <x:v>1</x:v>
      </x:c>
      <x:c r="C16" s="17" t="n">
        <x:v>11</x:v>
      </x:c>
      <x:c r="D16" s="15" t="str">
        <x:v>legacy</x:v>
      </x:c>
      <x:c r="E16" s="15" t="str">
        <x:v>每配方一次</x:v>
      </x:c>
      <x:c r="F16" s="15" t="str">
        <x:v>Relay</x:v>
      </x:c>
      <x:c r="G16" s="15" t="str"/>
      <x:c r="H16" s="15" t="str">
        <x:v>05 00 09 00 00</x:v>
      </x:c>
      <x:c r="I16" s="15" t="str">
        <x:v>Write Relay register 0009</x:v>
      </x:c>
      <x:c r="J16" s="15" t="str"/>
      <x:c r="K16" s="15" t="str">
        <x:v>响应回显=05 00 09 00 00</x:v>
      </x:c>
      <x:c r="L16" s="15" t="str"/>
      <x:c r="M16" s="15" t="str">
        <x:v>candidate:layered/L3_group/step_01_system_initialization.group.json</x:v>
      </x:c>
    </x:row>
    <x:row r="17" ht="34.5" customHeight="1">
      <x:c r="A17" s="19" t="str">
        <x:v>orange_small</x:v>
      </x:c>
      <x:c r="B17" s="18" t="n">
        <x:v>1</x:v>
      </x:c>
      <x:c r="C17" s="18" t="n">
        <x:v>12</x:v>
      </x:c>
      <x:c r="D17" s="19" t="str">
        <x:v>legacy</x:v>
      </x:c>
      <x:c r="E17" s="19" t="str">
        <x:v>每配方一次</x:v>
      </x:c>
      <x:c r="F17" s="19" t="str">
        <x:v>Relay</x:v>
      </x:c>
      <x:c r="G17" s="19" t="str"/>
      <x:c r="H17" s="19" t="str">
        <x:v>05 00 0A 00 00</x:v>
      </x:c>
      <x:c r="I17" s="19" t="str">
        <x:v>Write Relay register 000A</x:v>
      </x:c>
      <x:c r="J17" s="19" t="str"/>
      <x:c r="K17" s="19" t="str">
        <x:v>响应回显=05 00 0A 00 00</x:v>
      </x:c>
      <x:c r="L17" s="19" t="str"/>
      <x:c r="M17" s="19" t="str">
        <x:v>candidate:layered/L3_group/step_01_system_initialization.group.json</x:v>
      </x:c>
    </x:row>
    <x:row r="18" ht="34.5" customHeight="1">
      <x:c r="A18" s="15" t="str">
        <x:v>orange_small</x:v>
      </x:c>
      <x:c r="B18" s="17" t="n">
        <x:v>1</x:v>
      </x:c>
      <x:c r="C18" s="17" t="n">
        <x:v>13</x:v>
      </x:c>
      <x:c r="D18" s="15" t="str">
        <x:v>legacy</x:v>
      </x:c>
      <x:c r="E18" s="15" t="str">
        <x:v>每配方一次</x:v>
      </x:c>
      <x:c r="F18" s="15" t="str">
        <x:v>Relay</x:v>
      </x:c>
      <x:c r="G18" s="15" t="str"/>
      <x:c r="H18" s="15" t="str">
        <x:v>05 00 0B 00 00</x:v>
      </x:c>
      <x:c r="I18" s="15" t="str">
        <x:v>Write Relay register 000B</x:v>
      </x:c>
      <x:c r="J18" s="15" t="str"/>
      <x:c r="K18" s="15" t="str">
        <x:v>响应回显=05 00 0B 00 00</x:v>
      </x:c>
      <x:c r="L18" s="15" t="str"/>
      <x:c r="M18" s="15" t="str">
        <x:v>candidate:layered/L3_group/step_01_system_initialization.group.json</x:v>
      </x:c>
    </x:row>
    <x:row r="19" ht="34.5" customHeight="1">
      <x:c r="A19" s="19" t="str">
        <x:v>orange_small</x:v>
      </x:c>
      <x:c r="B19" s="18" t="n">
        <x:v>1</x:v>
      </x:c>
      <x:c r="C19" s="18" t="n">
        <x:v>14</x:v>
      </x:c>
      <x:c r="D19" s="19" t="str">
        <x:v>legacy</x:v>
      </x:c>
      <x:c r="E19" s="19" t="str">
        <x:v>每配方一次</x:v>
      </x:c>
      <x:c r="F19" s="19" t="str">
        <x:v>Relay</x:v>
      </x:c>
      <x:c r="G19" s="19" t="str"/>
      <x:c r="H19" s="19" t="str">
        <x:v>05 00 0C 00 00</x:v>
      </x:c>
      <x:c r="I19" s="19" t="str">
        <x:v>Write Relay register 000C</x:v>
      </x:c>
      <x:c r="J19" s="19" t="str"/>
      <x:c r="K19" s="19" t="str">
        <x:v>响应回显=05 00 0C 00 00</x:v>
      </x:c>
      <x:c r="L19" s="19" t="str"/>
      <x:c r="M19" s="19" t="str">
        <x:v>candidate:layered/L3_group/step_01_system_initialization.group.json</x:v>
      </x:c>
    </x:row>
    <x:row r="20" ht="34.5" customHeight="1">
      <x:c r="A20" s="15" t="str">
        <x:v>orange_small</x:v>
      </x:c>
      <x:c r="B20" s="17" t="n">
        <x:v>1</x:v>
      </x:c>
      <x:c r="C20" s="17" t="n">
        <x:v>15</x:v>
      </x:c>
      <x:c r="D20" s="15" t="str">
        <x:v>legacy</x:v>
      </x:c>
      <x:c r="E20" s="15" t="str">
        <x:v>每配方一次</x:v>
      </x:c>
      <x:c r="F20" s="15" t="str">
        <x:v>Relay</x:v>
      </x:c>
      <x:c r="G20" s="15" t="str"/>
      <x:c r="H20" s="15" t="str">
        <x:v>05 00 0D 00 00</x:v>
      </x:c>
      <x:c r="I20" s="15" t="str">
        <x:v>Write Relay register 000D</x:v>
      </x:c>
      <x:c r="J20" s="15" t="str"/>
      <x:c r="K20" s="15" t="str">
        <x:v>响应回显=05 00 0D 00 00</x:v>
      </x:c>
      <x:c r="L20" s="15" t="str"/>
      <x:c r="M20" s="15" t="str">
        <x:v>candidate:layered/L3_group/step_01_system_initialization.group.json</x:v>
      </x:c>
    </x:row>
    <x:row r="21" ht="34.5" customHeight="1">
      <x:c r="A21" s="19" t="str">
        <x:v>orange_small</x:v>
      </x:c>
      <x:c r="B21" s="18" t="n">
        <x:v>1</x:v>
      </x:c>
      <x:c r="C21" s="18" t="n">
        <x:v>16</x:v>
      </x:c>
      <x:c r="D21" s="19" t="str">
        <x:v>legacy</x:v>
      </x:c>
      <x:c r="E21" s="19" t="str">
        <x:v>每配方一次</x:v>
      </x:c>
      <x:c r="F21" s="19" t="str">
        <x:v>Relay</x:v>
      </x:c>
      <x:c r="G21" s="19" t="str"/>
      <x:c r="H21" s="19" t="str">
        <x:v>05 00 0E 00 00</x:v>
      </x:c>
      <x:c r="I21" s="19" t="str">
        <x:v>Write Relay register 000E</x:v>
      </x:c>
      <x:c r="J21" s="19" t="str"/>
      <x:c r="K21" s="19" t="str">
        <x:v>响应回显=05 00 0E 00 00</x:v>
      </x:c>
      <x:c r="L21" s="19" t="str"/>
      <x:c r="M21" s="19" t="str">
        <x:v>candidate:layered/L3_group/step_01_system_initialization.group.json</x:v>
      </x:c>
    </x:row>
    <x:row r="22" ht="34.5" customHeight="1">
      <x:c r="A22" s="15" t="str">
        <x:v>orange_small</x:v>
      </x:c>
      <x:c r="B22" s="17" t="n">
        <x:v>1</x:v>
      </x:c>
      <x:c r="C22" s="17" t="n">
        <x:v>17</x:v>
      </x:c>
      <x:c r="D22" s="15" t="str">
        <x:v>trigger</x:v>
      </x:c>
      <x:c r="E22" s="15" t="str">
        <x:v>每配方一次</x:v>
      </x:c>
      <x:c r="F22" s="15" t="str">
        <x:v>X</x:v>
      </x:c>
      <x:c r="G22" s="15" t="str"/>
      <x:c r="H22" s="15" t="str">
        <x:v>FC06 0x6002=16</x:v>
      </x:c>
      <x:c r="I22" s="15" t="str">
        <x:v>触发预设PR0</x:v>
      </x:c>
      <x:c r="J22" s="15" t="str"/>
      <x:c r="K22" s="15" t="str">
        <x:v>写入响应回显</x:v>
      </x:c>
      <x:c r="L22" s="15" t="str"/>
      <x:c r="M22" s="15" t="str">
        <x:v>candidate:layered/L3_group/step_01_system_initialization.group.json</x:v>
      </x:c>
    </x:row>
    <x:row r="23" ht="34.5" customHeight="1">
      <x:c r="A23" s="19" t="str">
        <x:v>orange_small</x:v>
      </x:c>
      <x:c r="B23" s="18" t="n">
        <x:v>1</x:v>
      </x:c>
      <x:c r="C23" s="18" t="n">
        <x:v>18</x:v>
      </x:c>
      <x:c r="D23" s="19" t="str">
        <x:v>trigger</x:v>
      </x:c>
      <x:c r="E23" s="19" t="str">
        <x:v>每配方一次</x:v>
      </x:c>
      <x:c r="F23" s="19" t="str">
        <x:v>Y1</x:v>
      </x:c>
      <x:c r="G23" s="19" t="str"/>
      <x:c r="H23" s="19" t="str">
        <x:v>FC06 0x6002=16</x:v>
      </x:c>
      <x:c r="I23" s="19" t="str">
        <x:v>触发预设PR0</x:v>
      </x:c>
      <x:c r="J23" s="19" t="str"/>
      <x:c r="K23" s="19" t="str">
        <x:v>写入响应回显</x:v>
      </x:c>
      <x:c r="L23" s="19" t="str"/>
      <x:c r="M23" s="19" t="str">
        <x:v>candidate:layered/L3_group/step_01_system_initialization.group.json</x:v>
      </x:c>
    </x:row>
    <x:row r="24" ht="34.5" customHeight="1">
      <x:c r="A24" s="15" t="str">
        <x:v>orange_small</x:v>
      </x:c>
      <x:c r="B24" s="17" t="n">
        <x:v>1</x:v>
      </x:c>
      <x:c r="C24" s="17" t="n">
        <x:v>19</x:v>
      </x:c>
      <x:c r="D24" s="15" t="str">
        <x:v>trigger</x:v>
      </x:c>
      <x:c r="E24" s="15" t="str">
        <x:v>每配方一次</x:v>
      </x:c>
      <x:c r="F24" s="15" t="str">
        <x:v>Y2</x:v>
      </x:c>
      <x:c r="G24" s="15" t="str"/>
      <x:c r="H24" s="15" t="str">
        <x:v>FC06 0x6002=16</x:v>
      </x:c>
      <x:c r="I24" s="15" t="str">
        <x:v>触发预设PR0</x:v>
      </x:c>
      <x:c r="J24" s="15" t="str"/>
      <x:c r="K24" s="15" t="str">
        <x:v>写入响应回显</x:v>
      </x:c>
      <x:c r="L24" s="15" t="str"/>
      <x:c r="M24" s="15" t="str">
        <x:v>candidate:layered/L3_group/step_01_system_initialization.group.json</x:v>
      </x:c>
    </x:row>
    <x:row r="25" ht="34.5" customHeight="1">
      <x:c r="A25" s="19" t="str">
        <x:v>orange_small</x:v>
      </x:c>
      <x:c r="B25" s="18" t="n">
        <x:v>1</x:v>
      </x:c>
      <x:c r="C25" s="18" t="n">
        <x:v>20</x:v>
      </x:c>
      <x:c r="D25" s="19" t="str">
        <x:v>trigger</x:v>
      </x:c>
      <x:c r="E25" s="19" t="str">
        <x:v>每配方一次</x:v>
      </x:c>
      <x:c r="F25" s="19" t="str">
        <x:v>Z</x:v>
      </x:c>
      <x:c r="G25" s="19" t="str"/>
      <x:c r="H25" s="19" t="str">
        <x:v>FC06 0x6002=16</x:v>
      </x:c>
      <x:c r="I25" s="19" t="str">
        <x:v>触发预设PR0</x:v>
      </x:c>
      <x:c r="J25" s="19" t="str"/>
      <x:c r="K25" s="19" t="str">
        <x:v>写入响应回显</x:v>
      </x:c>
      <x:c r="L25" s="19" t="str"/>
      <x:c r="M25" s="19" t="str">
        <x:v>candidate:layered/L3_group/step_01_system_initialization.group.json</x:v>
      </x:c>
    </x:row>
    <x:row r="26" ht="34.5" customHeight="1">
      <x:c r="A26" s="15" t="str">
        <x:v>orange_small</x:v>
      </x:c>
      <x:c r="B26" s="17" t="n">
        <x:v>1</x:v>
      </x:c>
      <x:c r="C26" s="17" t="n">
        <x:v>21</x:v>
      </x:c>
      <x:c r="D26" s="15" t="str">
        <x:v>ready</x:v>
      </x:c>
      <x:c r="E26" s="15" t="str">
        <x:v>每配方一次</x:v>
      </x:c>
      <x:c r="F26" s="15" t="str">
        <x:v>X</x:v>
      </x:c>
      <x:c r="G26" s="15" t="str"/>
      <x:c r="H26" s="15" t="str">
        <x:v>FC04 0x0000</x:v>
      </x:c>
      <x:c r="I26" s="15" t="str">
        <x:v>等待设备完成</x:v>
      </x:c>
      <x:c r="J26" s="15" t="str">
        <x:v>每20ms；截止4000ms</x:v>
      </x:c>
      <x:c r="K26" s="15" t="str">
        <x:v>04 02 00 01</x:v>
      </x:c>
      <x:c r="L26" s="15" t="str">
        <x:v>HOME_TIMEOUT</x:v>
      </x:c>
      <x:c r="M26" s="15" t="str">
        <x:v>candidate:layered/L3_group/step_01_system_initialization.group.json</x:v>
      </x:c>
    </x:row>
    <x:row r="27" ht="34.5" customHeight="1">
      <x:c r="A27" s="19" t="str">
        <x:v>orange_small</x:v>
      </x:c>
      <x:c r="B27" s="18" t="n">
        <x:v>1</x:v>
      </x:c>
      <x:c r="C27" s="18" t="n">
        <x:v>22</x:v>
      </x:c>
      <x:c r="D27" s="19" t="str">
        <x:v>ready</x:v>
      </x:c>
      <x:c r="E27" s="19" t="str">
        <x:v>每配方一次</x:v>
      </x:c>
      <x:c r="F27" s="19" t="str">
        <x:v>Y1</x:v>
      </x:c>
      <x:c r="G27" s="19" t="str"/>
      <x:c r="H27" s="19" t="str">
        <x:v>FC04 0x0000</x:v>
      </x:c>
      <x:c r="I27" s="19" t="str">
        <x:v>等待设备完成</x:v>
      </x:c>
      <x:c r="J27" s="19" t="str">
        <x:v>每20ms；截止4000ms</x:v>
      </x:c>
      <x:c r="K27" s="19" t="str">
        <x:v>04 02 00 01</x:v>
      </x:c>
      <x:c r="L27" s="19" t="str">
        <x:v>HOME_TIMEOUT</x:v>
      </x:c>
      <x:c r="M27" s="19" t="str">
        <x:v>candidate:layered/L3_group/step_01_system_initialization.group.json</x:v>
      </x:c>
    </x:row>
    <x:row r="28" ht="34.5" customHeight="1">
      <x:c r="A28" s="15" t="str">
        <x:v>orange_small</x:v>
      </x:c>
      <x:c r="B28" s="17" t="n">
        <x:v>1</x:v>
      </x:c>
      <x:c r="C28" s="17" t="n">
        <x:v>23</x:v>
      </x:c>
      <x:c r="D28" s="15" t="str">
        <x:v>ready</x:v>
      </x:c>
      <x:c r="E28" s="15" t="str">
        <x:v>每配方一次</x:v>
      </x:c>
      <x:c r="F28" s="15" t="str">
        <x:v>Y2</x:v>
      </x:c>
      <x:c r="G28" s="15" t="str"/>
      <x:c r="H28" s="15" t="str">
        <x:v>FC04 0x0000</x:v>
      </x:c>
      <x:c r="I28" s="15" t="str">
        <x:v>等待设备完成</x:v>
      </x:c>
      <x:c r="J28" s="15" t="str">
        <x:v>每20ms；截止4000ms</x:v>
      </x:c>
      <x:c r="K28" s="15" t="str">
        <x:v>04 02 00 01</x:v>
      </x:c>
      <x:c r="L28" s="15" t="str">
        <x:v>HOME_TIMEOUT</x:v>
      </x:c>
      <x:c r="M28" s="15" t="str">
        <x:v>candidate:layered/L3_group/step_01_system_initialization.group.json</x:v>
      </x:c>
    </x:row>
    <x:row r="29" ht="34.5" customHeight="1">
      <x:c r="A29" s="19" t="str">
        <x:v>orange_small</x:v>
      </x:c>
      <x:c r="B29" s="18" t="n">
        <x:v>1</x:v>
      </x:c>
      <x:c r="C29" s="18" t="n">
        <x:v>24</x:v>
      </x:c>
      <x:c r="D29" s="19" t="str">
        <x:v>ready</x:v>
      </x:c>
      <x:c r="E29" s="19" t="str">
        <x:v>每配方一次</x:v>
      </x:c>
      <x:c r="F29" s="19" t="str">
        <x:v>Z</x:v>
      </x:c>
      <x:c r="G29" s="19" t="str"/>
      <x:c r="H29" s="19" t="str">
        <x:v>FC04 0x0000</x:v>
      </x:c>
      <x:c r="I29" s="19" t="str">
        <x:v>等待设备完成</x:v>
      </x:c>
      <x:c r="J29" s="19" t="str">
        <x:v>每20ms；截止4000ms</x:v>
      </x:c>
      <x:c r="K29" s="19" t="str">
        <x:v>04 02 00 01</x:v>
      </x:c>
      <x:c r="L29" s="19" t="str">
        <x:v>HOME_TIMEOUT</x:v>
      </x:c>
      <x:c r="M29" s="19" t="str">
        <x:v>candidate:layered/L3_group/step_01_system_initialization.group.json</x:v>
      </x:c>
    </x:row>
    <x:row r="30" ht="34.5" customHeight="1">
      <x:c r="A30" s="15" t="str">
        <x:v>orange_small</x:v>
      </x:c>
      <x:c r="B30" s="17" t="n">
        <x:v>1</x:v>
      </x:c>
      <x:c r="C30" s="17" t="n">
        <x:v>25</x:v>
      </x:c>
      <x:c r="D30" s="15" t="str">
        <x:v>legacy</x:v>
      </x:c>
      <x:c r="E30" s="15" t="str">
        <x:v>每配方一次</x:v>
      </x:c>
      <x:c r="F30" s="15" t="str"/>
      <x:c r="G30" s="15" t="str"/>
      <x:c r="H30" s="15" t="str">
        <x:v>last_x_pr</x:v>
      </x:c>
      <x:c r="I30" s="15" t="str">
        <x:v>设置变量=0</x:v>
      </x:c>
      <x:c r="J30" s="15" t="str"/>
      <x:c r="K30" s="15" t="str"/>
      <x:c r="L30" s="15" t="str"/>
      <x:c r="M30" s="15" t="str">
        <x:v>candidate:layered/L3_group/step_01_system_initialization.group.json</x:v>
      </x:c>
    </x:row>
    <x:row r="31" ht="34.5" customHeight="1">
      <x:c r="A31" s="19" t="str">
        <x:v>orange_small</x:v>
      </x:c>
      <x:c r="B31" s="18" t="n">
        <x:v>1</x:v>
      </x:c>
      <x:c r="C31" s="18" t="n">
        <x:v>26</x:v>
      </x:c>
      <x:c r="D31" s="19" t="str">
        <x:v>legacy</x:v>
      </x:c>
      <x:c r="E31" s="19" t="str">
        <x:v>每配方一次</x:v>
      </x:c>
      <x:c r="F31" s="19" t="str"/>
      <x:c r="G31" s="19" t="str"/>
      <x:c r="H31" s="19" t="str">
        <x:v>last_y_pr</x:v>
      </x:c>
      <x:c r="I31" s="19" t="str">
        <x:v>设置变量=0</x:v>
      </x:c>
      <x:c r="J31" s="19" t="str"/>
      <x:c r="K31" s="19" t="str"/>
      <x:c r="L31" s="19" t="str"/>
      <x:c r="M31" s="19" t="str">
        <x:v>candidate:layered/L3_group/step_01_system_initialization.group.json</x:v>
      </x:c>
    </x:row>
    <x:row r="32" ht="34.5" customHeight="1">
      <x:c r="A32" s="15" t="str">
        <x:v>orange_small</x:v>
      </x:c>
      <x:c r="B32" s="17" t="n">
        <x:v>1</x:v>
      </x:c>
      <x:c r="C32" s="17" t="n">
        <x:v>27</x:v>
      </x:c>
      <x:c r="D32" s="15" t="str">
        <x:v>legacy</x:v>
      </x:c>
      <x:c r="E32" s="15" t="str">
        <x:v>每配方一次</x:v>
      </x:c>
      <x:c r="F32" s="15" t="str"/>
      <x:c r="G32" s="15" t="str"/>
      <x:c r="H32" s="15" t="str">
        <x:v>last_z_pr</x:v>
      </x:c>
      <x:c r="I32" s="15" t="str">
        <x:v>设置变量=0</x:v>
      </x:c>
      <x:c r="J32" s="15" t="str"/>
      <x:c r="K32" s="15" t="str"/>
      <x:c r="L32" s="15" t="str"/>
      <x:c r="M32" s="15" t="str">
        <x:v>candidate:layered/L3_group/step_01_system_initialization.group.json</x:v>
      </x:c>
    </x:row>
    <x:row r="33" ht="34.5" customHeight="1">
      <x:c r="A33" s="19" t="str">
        <x:v>orange_small</x:v>
      </x:c>
      <x:c r="B33" s="18" t="n">
        <x:v>1</x:v>
      </x:c>
      <x:c r="C33" s="18" t="n">
        <x:v>28</x:v>
      </x:c>
      <x:c r="D33" s="19" t="str">
        <x:v>refresh</x:v>
      </x:c>
      <x:c r="E33" s="19" t="str">
        <x:v>每配方一次</x:v>
      </x:c>
      <x:c r="F33" s="19" t="str">
        <x:v>X / Y1 / Y2 / Z</x:v>
      </x:c>
      <x:c r="G33" s="19" t="str"/>
      <x:c r="H33" s="19" t="str">
        <x:v>FC03 0x602C, 2 registers</x:v>
      </x:c>
      <x:c r="I33" s="19" t="str">
        <x:v>缓存四电机坐标；更新centerX/centerY/centerZ（centerY=Y1）</x:v>
      </x:c>
      <x:c r="J33" s="19" t="str"/>
      <x:c r="K33" s="19" t="str"/>
      <x:c r="L33" s="19" t="str"/>
      <x:c r="M33" s="19" t="str">
        <x:v>candidate:layered/L3_group/step_01_system_initialization.group.json</x:v>
      </x:c>
    </x:row>
    <x:row r="34" ht="34.5" customHeight="1">
      <x:c r="A34" s="15" t="str">
        <x:v>orange_small</x:v>
      </x:c>
      <x:c r="B34" s="17" t="n">
        <x:v>1</x:v>
      </x:c>
      <x:c r="C34" s="17" t="n">
        <x:v>29</x:v>
      </x:c>
      <x:c r="D34" s="15" t="str">
        <x:v>legacy</x:v>
      </x:c>
      <x:c r="E34" s="15" t="str">
        <x:v>每配方一次</x:v>
      </x:c>
      <x:c r="F34" s="15" t="str">
        <x:v>X</x:v>
      </x:c>
      <x:c r="G34" s="15" t="str"/>
      <x:c r="H34" s="15" t="str">
        <x:v>03 22 03 00 01；解码={"valueStartByte":2,"valueLength":2,"valueEndian":"big","valueType":"int"}</x:v>
      </x:c>
      <x:c r="I34" s="15" t="str">
        <x:v>X alarm self-check</x:v>
      </x:c>
      <x:c r="J34" s="15" t="str"/>
      <x:c r="K34" s="15" t="str">
        <x:v>equal 0</x:v>
      </x:c>
      <x:c r="L34" s="15" t="str">
        <x:v>X_ALARM</x:v>
      </x:c>
      <x:c r="M34" s="15" t="str">
        <x:v>candidate:layered/L3_group/step_01_system_initialization.group.json</x:v>
      </x:c>
    </x:row>
    <x:row r="35" ht="34.5" customHeight="1">
      <x:c r="A35" s="19" t="str">
        <x:v>orange_small</x:v>
      </x:c>
      <x:c r="B35" s="18" t="n">
        <x:v>1</x:v>
      </x:c>
      <x:c r="C35" s="18" t="n">
        <x:v>30</x:v>
      </x:c>
      <x:c r="D35" s="19" t="str">
        <x:v>legacy</x:v>
      </x:c>
      <x:c r="E35" s="19" t="str">
        <x:v>每配方一次</x:v>
      </x:c>
      <x:c r="F35" s="19" t="str">
        <x:v>Y1</x:v>
      </x:c>
      <x:c r="G35" s="19" t="str"/>
      <x:c r="H35" s="19" t="str">
        <x:v>03 22 03 00 01；解码={"valueStartByte":2,"valueLength":2,"valueEndian":"big","valueType":"int"}</x:v>
      </x:c>
      <x:c r="I35" s="19" t="str">
        <x:v>Y1: Y alarm self-check</x:v>
      </x:c>
      <x:c r="J35" s="19" t="str"/>
      <x:c r="K35" s="19" t="str">
        <x:v>equal 0</x:v>
      </x:c>
      <x:c r="L35" s="19" t="str">
        <x:v>Y_ALARM</x:v>
      </x:c>
      <x:c r="M35" s="19" t="str">
        <x:v>candidate:layered/L3_group/step_01_system_initialization.group.json</x:v>
      </x:c>
    </x:row>
    <x:row r="36" ht="34.5" customHeight="1">
      <x:c r="A36" s="15" t="str">
        <x:v>orange_small</x:v>
      </x:c>
      <x:c r="B36" s="17" t="n">
        <x:v>1</x:v>
      </x:c>
      <x:c r="C36" s="17" t="n">
        <x:v>31</x:v>
      </x:c>
      <x:c r="D36" s="15" t="str">
        <x:v>legacy</x:v>
      </x:c>
      <x:c r="E36" s="15" t="str">
        <x:v>每配方一次</x:v>
      </x:c>
      <x:c r="F36" s="15" t="str">
        <x:v>Y2</x:v>
      </x:c>
      <x:c r="G36" s="15" t="str"/>
      <x:c r="H36" s="15" t="str">
        <x:v>03 22 03 00 01；解码={"valueStartByte":2,"valueLength":2,"valueEndian":"big","valueType":"int"}</x:v>
      </x:c>
      <x:c r="I36" s="15" t="str">
        <x:v>Y2: Y alarm self-check</x:v>
      </x:c>
      <x:c r="J36" s="15" t="str"/>
      <x:c r="K36" s="15" t="str">
        <x:v>equal 0</x:v>
      </x:c>
      <x:c r="L36" s="15" t="str">
        <x:v>Y_ALARM_Y2</x:v>
      </x:c>
      <x:c r="M36" s="15" t="str">
        <x:v>candidate:layered/L3_group/step_01_system_initialization.group.json</x:v>
      </x:c>
    </x:row>
    <x:row r="37" ht="34.5" customHeight="1">
      <x:c r="A37" s="19" t="str">
        <x:v>orange_small</x:v>
      </x:c>
      <x:c r="B37" s="18" t="n">
        <x:v>1</x:v>
      </x:c>
      <x:c r="C37" s="18" t="n">
        <x:v>32</x:v>
      </x:c>
      <x:c r="D37" s="19" t="str">
        <x:v>legacy</x:v>
      </x:c>
      <x:c r="E37" s="19" t="str">
        <x:v>每配方一次</x:v>
      </x:c>
      <x:c r="F37" s="19" t="str">
        <x:v>Z</x:v>
      </x:c>
      <x:c r="G37" s="19" t="str"/>
      <x:c r="H37" s="19" t="str">
        <x:v>03 22 03 00 01；解码={"valueStartByte":2,"valueLength":2,"valueEndian":"big","valueType":"int"}</x:v>
      </x:c>
      <x:c r="I37" s="19" t="str">
        <x:v>Z alarm self-check</x:v>
      </x:c>
      <x:c r="J37" s="19" t="str"/>
      <x:c r="K37" s="19" t="str">
        <x:v>equal 0</x:v>
      </x:c>
      <x:c r="L37" s="19" t="str">
        <x:v>Z_ALARM</x:v>
      </x:c>
      <x:c r="M37" s="19" t="str">
        <x:v>candidate:layered/L3_group/step_01_system_initialization.group.json</x:v>
      </x:c>
    </x:row>
    <x:row r="38" ht="34.5" customHeight="1">
      <x:c r="A38" s="15" t="str">
        <x:v>orange_small</x:v>
      </x:c>
      <x:c r="B38" s="17" t="n">
        <x:v>1</x:v>
      </x:c>
      <x:c r="C38" s="17" t="n">
        <x:v>33</x:v>
      </x:c>
      <x:c r="D38" s="15" t="str">
        <x:v>legacy</x:v>
      </x:c>
      <x:c r="E38" s="15" t="str">
        <x:v>每配方一次</x:v>
      </x:c>
      <x:c r="F38" s="15" t="str">
        <x:v>X</x:v>
      </x:c>
      <x:c r="G38" s="15" t="str"/>
      <x:c r="H38" s="15" t="str">
        <x:v>03 10 03 00 01；解码={"cacheStartByte":2,"cacheLength":2,"cacheEndian":"big","valueType":"int"}</x:v>
      </x:c>
      <x:c r="I38" s="15" t="str">
        <x:v>缓存xStatus</x:v>
      </x:c>
      <x:c r="J38" s="15" t="str"/>
      <x:c r="K38" s="15" t="str"/>
      <x:c r="L38" s="15" t="str"/>
      <x:c r="M38" s="15" t="str">
        <x:v>candidate:layered/L3_group/step_01_system_initialization.group.json</x:v>
      </x:c>
    </x:row>
    <x:row r="39" ht="34.5" customHeight="1">
      <x:c r="A39" s="19" t="str">
        <x:v>orange_small</x:v>
      </x:c>
      <x:c r="B39" s="18" t="n">
        <x:v>1</x:v>
      </x:c>
      <x:c r="C39" s="18" t="n">
        <x:v>34</x:v>
      </x:c>
      <x:c r="D39" s="19" t="str">
        <x:v>legacy</x:v>
      </x:c>
      <x:c r="E39" s="19" t="str">
        <x:v>每配方一次</x:v>
      </x:c>
      <x:c r="F39" s="19" t="str">
        <x:v>Y1</x:v>
      </x:c>
      <x:c r="G39" s="19" t="str"/>
      <x:c r="H39" s="19" t="str">
        <x:v>03 10 03 00 01；解码={"cacheStartByte":2,"cacheLength":2,"cacheEndian":"big","valueType":"int"}</x:v>
      </x:c>
      <x:c r="I39" s="19" t="str">
        <x:v>缓存yStatus</x:v>
      </x:c>
      <x:c r="J39" s="19" t="str"/>
      <x:c r="K39" s="19" t="str"/>
      <x:c r="L39" s="19" t="str"/>
      <x:c r="M39" s="19" t="str">
        <x:v>candidate:layered/L3_group/step_01_system_initialization.group.json</x:v>
      </x:c>
    </x:row>
    <x:row r="40" ht="34.5" customHeight="1">
      <x:c r="A40" s="15" t="str">
        <x:v>orange_small</x:v>
      </x:c>
      <x:c r="B40" s="17" t="n">
        <x:v>1</x:v>
      </x:c>
      <x:c r="C40" s="17" t="n">
        <x:v>35</x:v>
      </x:c>
      <x:c r="D40" s="15" t="str">
        <x:v>legacy</x:v>
      </x:c>
      <x:c r="E40" s="15" t="str">
        <x:v>每配方一次</x:v>
      </x:c>
      <x:c r="F40" s="15" t="str">
        <x:v>Y2</x:v>
      </x:c>
      <x:c r="G40" s="15" t="str"/>
      <x:c r="H40" s="15" t="str">
        <x:v>03 10 03 00 01；解码={"cacheStartByte":2,"cacheLength":2,"cacheEndian":"big","valueType":"int"}</x:v>
      </x:c>
      <x:c r="I40" s="15" t="str">
        <x:v>缓存yStatus_Y2</x:v>
      </x:c>
      <x:c r="J40" s="15" t="str"/>
      <x:c r="K40" s="15" t="str"/>
      <x:c r="L40" s="15" t="str"/>
      <x:c r="M40" s="15" t="str">
        <x:v>candidate:layered/L3_group/step_01_system_initialization.group.json</x:v>
      </x:c>
    </x:row>
    <x:row r="41" ht="34.5" customHeight="1">
      <x:c r="A41" s="19" t="str">
        <x:v>orange_small</x:v>
      </x:c>
      <x:c r="B41" s="18" t="n">
        <x:v>1</x:v>
      </x:c>
      <x:c r="C41" s="18" t="n">
        <x:v>36</x:v>
      </x:c>
      <x:c r="D41" s="19" t="str">
        <x:v>legacy</x:v>
      </x:c>
      <x:c r="E41" s="19" t="str">
        <x:v>每配方一次</x:v>
      </x:c>
      <x:c r="F41" s="19" t="str">
        <x:v>Z</x:v>
      </x:c>
      <x:c r="G41" s="19" t="str"/>
      <x:c r="H41" s="19" t="str">
        <x:v>03 10 03 00 01；解码={"cacheStartByte":2,"cacheLength":2,"cacheEndian":"big","valueType":"int"}</x:v>
      </x:c>
      <x:c r="I41" s="19" t="str">
        <x:v>缓存zStatus</x:v>
      </x:c>
      <x:c r="J41" s="19" t="str"/>
      <x:c r="K41" s="19" t="str"/>
      <x:c r="L41" s="19" t="str"/>
      <x:c r="M41" s="19" t="str">
        <x:v>candidate:layered/L3_group/step_01_system_initialization.group.json</x:v>
      </x:c>
    </x:row>
    <x:row r="42" ht="34.5" customHeight="1">
      <x:c r="A42" s="15" t="str">
        <x:v>orange_small</x:v>
      </x:c>
      <x:c r="B42" s="17" t="n">
        <x:v>1</x:v>
      </x:c>
      <x:c r="C42" s="17" t="n">
        <x:v>37</x:v>
      </x:c>
      <x:c r="D42" s="15" t="str">
        <x:v>legacy</x:v>
      </x:c>
      <x:c r="E42" s="15" t="str">
        <x:v>每配方一次</x:v>
      </x:c>
      <x:c r="F42" s="15" t="str"/>
      <x:c r="G42" s="15" t="str"/>
      <x:c r="H42" s="15" t="str"/>
      <x:c r="I42" s="15" t="str">
        <x:v>显式等待(ms)</x:v>
      </x:c>
      <x:c r="J42" s="15" t="n">
        <x:v>1000</x:v>
      </x:c>
      <x:c r="K42" s="15" t="str"/>
      <x:c r="L42" s="15" t="str"/>
      <x:c r="M42" s="15" t="str">
        <x:v>candidate:layered/L3_group/step_01_system_initialization.group.json</x:v>
      </x:c>
    </x:row>
    <x:row r="43" ht="34.5" customHeight="1">
      <x:c r="A43" s="19" t="str">
        <x:v>orange_small</x:v>
      </x:c>
      <x:c r="B43" s="18" t="n">
        <x:v>2</x:v>
      </x:c>
      <x:c r="C43" s="18" t="n">
        <x:v>1</x:v>
      </x:c>
      <x:c r="D43" s="19" t="str">
        <x:v>legacy</x:v>
      </x:c>
      <x:c r="E43" s="19" t="str">
        <x:v>每瓶一次；每配方12次</x:v>
      </x:c>
      <x:c r="F43" s="19" t="str"/>
      <x:c r="G43" s="19" t="str"/>
      <x:c r="H43" s="19" t="str">
        <x:v>stage</x:v>
      </x:c>
      <x:c r="I43" s="19" t="str">
        <x:v>更新UI=02</x:v>
      </x:c>
      <x:c r="J43" s="19" t="str"/>
      <x:c r="K43" s="19" t="str"/>
      <x:c r="L43" s="19" t="str"/>
      <x:c r="M43" s="19" t="str">
        <x:v>candidate:layered/L3_group/step_02_empty_bottle_feeding.group.json</x:v>
      </x:c>
    </x:row>
    <x:row r="44" ht="34.5" customHeight="1">
      <x:c r="A44" s="15" t="str">
        <x:v>orange_small</x:v>
      </x:c>
      <x:c r="B44" s="17" t="n">
        <x:v>2</x:v>
      </x:c>
      <x:c r="C44" s="17" t="n">
        <x:v>2</x:v>
      </x:c>
      <x:c r="D44" s="15" t="str">
        <x:v>legacy</x:v>
      </x:c>
      <x:c r="E44" s="15" t="str">
        <x:v>每瓶一次；每配方12次</x:v>
      </x:c>
      <x:c r="F44" s="15" t="str">
        <x:v>Relay</x:v>
      </x:c>
      <x:c r="G44" s="15" t="str"/>
      <x:c r="H44" s="15" t="str">
        <x:v>05 00 08 FF 00</x:v>
      </x:c>
      <x:c r="I44" s="15" t="str">
        <x:v>Write Relay register 0008</x:v>
      </x:c>
      <x:c r="J44" s="15" t="str"/>
      <x:c r="K44" s="15" t="str">
        <x:v>响应回显=05 00 08 FF 00</x:v>
      </x:c>
      <x:c r="L44" s="15" t="str"/>
      <x:c r="M44" s="15" t="str">
        <x:v>candidate:layered/L3_group/step_02_empty_bottle_feeding.group.json</x:v>
      </x:c>
    </x:row>
    <x:row r="45" ht="34.5" customHeight="1">
      <x:c r="A45" s="19" t="str">
        <x:v>orange_small</x:v>
      </x:c>
      <x:c r="B45" s="18" t="n">
        <x:v>2</x:v>
      </x:c>
      <x:c r="C45" s="18" t="n">
        <x:v>3</x:v>
      </x:c>
      <x:c r="D45" s="19" t="str">
        <x:v>trigger</x:v>
      </x:c>
      <x:c r="E45" s="19" t="str">
        <x:v>每瓶一次；每配方12次</x:v>
      </x:c>
      <x:c r="F45" s="19" t="str">
        <x:v>Infeed</x:v>
      </x:c>
      <x:c r="G45" s="19" t="str"/>
      <x:c r="H45" s="19" t="str">
        <x:v>FC06 0x6002=19</x:v>
      </x:c>
      <x:c r="I45" s="19" t="str">
        <x:v>触发预设PR3</x:v>
      </x:c>
      <x:c r="J45" s="19" t="str"/>
      <x:c r="K45" s="19" t="str">
        <x:v>写入响应回显</x:v>
      </x:c>
      <x:c r="L45" s="19" t="str"/>
      <x:c r="M45" s="19" t="str">
        <x:v>candidate:layered/L3_group/step_02_empty_bottle_feeding.group.json</x:v>
      </x:c>
    </x:row>
    <x:row r="46" ht="34.5" customHeight="1">
      <x:c r="A46" s="15" t="str">
        <x:v>orange_small</x:v>
      </x:c>
      <x:c r="B46" s="17" t="n">
        <x:v>2</x:v>
      </x:c>
      <x:c r="C46" s="17" t="n">
        <x:v>4</x:v>
      </x:c>
      <x:c r="D46" s="15" t="str">
        <x:v>ready</x:v>
      </x:c>
      <x:c r="E46" s="15" t="str">
        <x:v>每瓶一次；每配方12次</x:v>
      </x:c>
      <x:c r="F46" s="15" t="str">
        <x:v>Infeed</x:v>
      </x:c>
      <x:c r="G46" s="15" t="str"/>
      <x:c r="H46" s="15" t="str">
        <x:v>FC04 0x0000</x:v>
      </x:c>
      <x:c r="I46" s="15" t="str">
        <x:v>等待设备完成</x:v>
      </x:c>
      <x:c r="J46" s="15" t="str">
        <x:v>每20ms；截止4000ms</x:v>
      </x:c>
      <x:c r="K46" s="15" t="str">
        <x:v>04 02 00 01</x:v>
      </x:c>
      <x:c r="L46" s="15" t="str">
        <x:v>EMPTY_FEED_TIMEOUT</x:v>
      </x:c>
      <x:c r="M46" s="15" t="str">
        <x:v>candidate:layered/L3_group/step_02_empty_bottle_feeding.group.json</x:v>
      </x:c>
    </x:row>
    <x:row r="47" ht="34.5" customHeight="1">
      <x:c r="A47" s="19" t="str">
        <x:v>orange_small</x:v>
      </x:c>
      <x:c r="B47" s="18" t="n">
        <x:v>2</x:v>
      </x:c>
      <x:c r="C47" s="18" t="n">
        <x:v>5</x:v>
      </x:c>
      <x:c r="D47" s="19" t="str">
        <x:v>legacy</x:v>
      </x:c>
      <x:c r="E47" s="19" t="str">
        <x:v>每瓶一次；每配方12次</x:v>
      </x:c>
      <x:c r="F47" s="19" t="str">
        <x:v>BottleSensor</x:v>
      </x:c>
      <x:c r="G47" s="19" t="str"/>
      <x:c r="H47" s="19" t="str">
        <x:v>04 00 34 00 01</x:v>
      </x:c>
      <x:c r="I47" s="19" t="str">
        <x:v>Check bottle sensor and wait (5s)</x:v>
      </x:c>
      <x:c r="J47" s="19" t="str">
        <x:v>每100ms；截止5000ms</x:v>
      </x:c>
      <x:c r="K47" s="19" t="str">
        <x:v>04 02 00 01</x:v>
      </x:c>
      <x:c r="L47" s="19" t="str">
        <x:v>BOTTLE_SENSOR_TIMEOUT</x:v>
      </x:c>
      <x:c r="M47" s="19" t="str">
        <x:v>candidate:layered/L3_group/step_02_empty_bottle_feeding.group.json</x:v>
      </x:c>
    </x:row>
    <x:row r="48" ht="34.5" customHeight="1">
      <x:c r="A48" s="15" t="str">
        <x:v>orange_small</x:v>
      </x:c>
      <x:c r="B48" s="17" t="n">
        <x:v>2</x:v>
      </x:c>
      <x:c r="C48" s="17" t="n">
        <x:v>6</x:v>
      </x:c>
      <x:c r="D48" s="15" t="str">
        <x:v>legacy</x:v>
      </x:c>
      <x:c r="E48" s="15" t="str">
        <x:v>每瓶一次；每配方12次</x:v>
      </x:c>
      <x:c r="F48" s="15" t="str">
        <x:v>Relay</x:v>
      </x:c>
      <x:c r="G48" s="15" t="str"/>
      <x:c r="H48" s="15" t="str">
        <x:v>05 00 08 00 00</x:v>
      </x:c>
      <x:c r="I48" s="15" t="str">
        <x:v>Write Relay register 0008</x:v>
      </x:c>
      <x:c r="J48" s="15" t="str"/>
      <x:c r="K48" s="15" t="str">
        <x:v>响应回显=05 00 08 00 00</x:v>
      </x:c>
      <x:c r="L48" s="15" t="str"/>
      <x:c r="M48" s="15" t="str">
        <x:v>candidate:layered/L3_group/step_02_empty_bottle_feeding.group.json</x:v>
      </x:c>
    </x:row>
    <x:row r="49" ht="34.5" customHeight="1">
      <x:c r="A49" s="19" t="str">
        <x:v>orange_small</x:v>
      </x:c>
      <x:c r="B49" s="18" t="n">
        <x:v>2</x:v>
      </x:c>
      <x:c r="C49" s="18" t="n">
        <x:v>7</x:v>
      </x:c>
      <x:c r="D49" s="19" t="str">
        <x:v>move</x:v>
      </x:c>
      <x:c r="E49" s="19" t="str">
        <x:v>每瓶一次；每配方12次</x:v>
      </x:c>
      <x:c r="F49" s="19" t="str">
        <x:v>X / Y1 / Y2 / Z</x:v>
      </x:c>
      <x:c r="G49" s="19" t="n">
        <x:v>33</x:v>
      </x:c>
      <x:c r="H49" s="19" t="str">
        <x:v>empty_entry</x:v>
      </x:c>
      <x:c r="I49" s="19" t="str">
        <x:v>移动至 small empty entry；PR=(3,3,3,1)；仅变化轴触发</x:v>
      </x:c>
      <x:c r="J49" s="19" t="str">
        <x:v>四电机各20ms轮询/4000ms截止</x:v>
      </x:c>
      <x:c r="K49" s="19" t="str">
        <x:v>全部就绪；缓存四位置；UI使用X/Y1/Z</x:v>
      </x:c>
      <x:c r="L49" s="19" t="str">
        <x:v>MOTION_TIMEOUT</x:v>
      </x:c>
      <x:c r="M49" s="19" t="str">
        <x:v>candidate:layered/L3_group/step_02_empty_bottle_feeding.group.json</x:v>
      </x:c>
    </x:row>
    <x:row r="50" ht="34.5" customHeight="1">
      <x:c r="A50" s="15" t="str">
        <x:v>orange_small</x:v>
      </x:c>
      <x:c r="B50" s="17" t="n">
        <x:v>2</x:v>
      </x:c>
      <x:c r="C50" s="17" t="n">
        <x:v>8</x:v>
      </x:c>
      <x:c r="D50" s="15" t="str">
        <x:v>move</x:v>
      </x:c>
      <x:c r="E50" s="15" t="str">
        <x:v>每瓶一次；每配方12次</x:v>
      </x:c>
      <x:c r="F50" s="15" t="str">
        <x:v>X / Y1 / Y2 / Z</x:v>
      </x:c>
      <x:c r="G50" s="15" t="n">
        <x:v>34</x:v>
      </x:c>
      <x:c r="H50" s="15" t="str">
        <x:v>empty_work</x:v>
      </x:c>
      <x:c r="I50" s="15" t="str">
        <x:v>移动至 small empty work；PR=(3,3,3,4)；仅变化轴触发</x:v>
      </x:c>
      <x:c r="J50" s="15" t="str">
        <x:v>四电机各20ms轮询/4000ms截止</x:v>
      </x:c>
      <x:c r="K50" s="15" t="str">
        <x:v>全部就绪；缓存四位置；UI使用X/Y1/Z</x:v>
      </x:c>
      <x:c r="L50" s="15" t="str">
        <x:v>MOTION_TIMEOUT</x:v>
      </x:c>
      <x:c r="M50" s="15" t="str">
        <x:v>candidate:layered/L3_group/step_02_empty_bottle_feeding.group.json</x:v>
      </x:c>
    </x:row>
    <x:row r="51" ht="34.5" customHeight="1">
      <x:c r="A51" s="19" t="str">
        <x:v>orange_small</x:v>
      </x:c>
      <x:c r="B51" s="18" t="n">
        <x:v>2</x:v>
      </x:c>
      <x:c r="C51" s="18" t="n">
        <x:v>9</x:v>
      </x:c>
      <x:c r="D51" s="19" t="str">
        <x:v>coil</x:v>
      </x:c>
      <x:c r="E51" s="19" t="str">
        <x:v>每瓶一次；每配方12次</x:v>
      </x:c>
      <x:c r="F51" s="19" t="str">
        <x:v>Gripper</x:v>
      </x:c>
      <x:c r="G51" s="19" t="str"/>
      <x:c r="H51" s="19" t="str">
        <x:v>FC05 0x0000</x:v>
      </x:c>
      <x:c r="I51" s="19" t="str">
        <x:v>开启</x:v>
      </x:c>
      <x:c r="J51" s="19" t="str"/>
      <x:c r="K51" s="19" t="str">
        <x:v>写入响应回显</x:v>
      </x:c>
      <x:c r="L51" s="19" t="str"/>
      <x:c r="M51" s="19" t="str">
        <x:v>candidate:layered/L3_group/step_02_empty_bottle_feeding.group.json</x:v>
      </x:c>
    </x:row>
    <x:row r="52" ht="34.5" customHeight="1">
      <x:c r="A52" s="15" t="str">
        <x:v>orange_small</x:v>
      </x:c>
      <x:c r="B52" s="17" t="n">
        <x:v>2</x:v>
      </x:c>
      <x:c r="C52" s="17" t="n">
        <x:v>10</x:v>
      </x:c>
      <x:c r="D52" s="15" t="str">
        <x:v>legacy</x:v>
      </x:c>
      <x:c r="E52" s="15" t="str">
        <x:v>每瓶一次；每配方12次</x:v>
      </x:c>
      <x:c r="F52" s="15" t="str">
        <x:v>BottleSensor</x:v>
      </x:c>
      <x:c r="G52" s="15" t="str"/>
      <x:c r="H52" s="15" t="str">
        <x:v>04 00 41 00 01</x:v>
      </x:c>
      <x:c r="I52" s="15" t="str">
        <x:v>Check pick sensor</x:v>
      </x:c>
      <x:c r="J52" s="15" t="str">
        <x:v>每50ms；截止3000ms</x:v>
      </x:c>
      <x:c r="K52" s="15" t="str">
        <x:v>04 02 00 01</x:v>
      </x:c>
      <x:c r="L52" s="15" t="str">
        <x:v>PICK_TIMEOUT</x:v>
      </x:c>
      <x:c r="M52" s="15" t="str">
        <x:v>candidate:layered/L3_group/step_02_empty_bottle_feeding.group.json</x:v>
      </x:c>
    </x:row>
    <x:row r="53" ht="34.5" customHeight="1">
      <x:c r="A53" s="19" t="str">
        <x:v>orange_small</x:v>
      </x:c>
      <x:c r="B53" s="18" t="n">
        <x:v>3</x:v>
      </x:c>
      <x:c r="C53" s="18" t="n">
        <x:v>1</x:v>
      </x:c>
      <x:c r="D53" s="19" t="str">
        <x:v>legacy</x:v>
      </x:c>
      <x:c r="E53" s="19" t="str">
        <x:v>每瓶一次；每配方12次</x:v>
      </x:c>
      <x:c r="F53" s="19" t="str"/>
      <x:c r="G53" s="19" t="str"/>
      <x:c r="H53" s="19" t="str">
        <x:v>stage</x:v>
      </x:c>
      <x:c r="I53" s="19" t="str">
        <x:v>更新UI=03</x:v>
      </x:c>
      <x:c r="J53" s="19" t="str"/>
      <x:c r="K53" s="19" t="str"/>
      <x:c r="L53" s="19" t="str"/>
      <x:c r="M53" s="19" t="str">
        <x:v>candidate:layered/L3_group/step_03_bottle_position_detection.group.json</x:v>
      </x:c>
    </x:row>
    <x:row r="54" ht="34.5" customHeight="1">
      <x:c r="A54" s="15" t="str">
        <x:v>orange_small</x:v>
      </x:c>
      <x:c r="B54" s="17" t="n">
        <x:v>3</x:v>
      </x:c>
      <x:c r="C54" s="17" t="n">
        <x:v>2</x:v>
      </x:c>
      <x:c r="D54" s="15" t="str">
        <x:v>present</x:v>
      </x:c>
      <x:c r="E54" s="15" t="str">
        <x:v>每瓶一次；每配方12次</x:v>
      </x:c>
      <x:c r="F54" s="15" t="str">
        <x:v>ContainerSensor</x:v>
      </x:c>
      <x:c r="G54" s="15" t="str"/>
      <x:c r="H54" s="15" t="str">
        <x:v>FC04 0x0001</x:v>
      </x:c>
      <x:c r="I54" s="15" t="str">
        <x:v>确认夹持容器</x:v>
      </x:c>
      <x:c r="J54" s="15" t="str">
        <x:v>每20ms；截止2000ms</x:v>
      </x:c>
      <x:c r="K54" s="15" t="str">
        <x:v>04 02 00 01</x:v>
      </x:c>
      <x:c r="L54" s="15" t="str">
        <x:v>NO_CONTAINER</x:v>
      </x:c>
      <x:c r="M54" s="15" t="str">
        <x:v>candidate:layered/L3_group/step_03_bottle_position_detection.group.json</x:v>
      </x:c>
    </x:row>
    <x:row r="55" ht="34.5" customHeight="1">
      <x:c r="A55" s="19" t="str">
        <x:v>orange_small</x:v>
      </x:c>
      <x:c r="B55" s="18" t="n">
        <x:v>3</x:v>
      </x:c>
      <x:c r="C55" s="18" t="n">
        <x:v>3</x:v>
      </x:c>
      <x:c r="D55" s="19" t="str">
        <x:v>legacy</x:v>
      </x:c>
      <x:c r="E55" s="19" t="str">
        <x:v>每瓶一次；每配方12次</x:v>
      </x:c>
      <x:c r="F55" s="19" t="str">
        <x:v>BottleSensor</x:v>
      </x:c>
      <x:c r="G55" s="19" t="str"/>
      <x:c r="H55" s="19" t="str">
        <x:v>04 00 34 00 01</x:v>
      </x:c>
      <x:c r="I55" s="19" t="str">
        <x:v>Check station 1 sensor</x:v>
      </x:c>
      <x:c r="J55" s="19" t="str">
        <x:v>每50ms；截止3000ms</x:v>
      </x:c>
      <x:c r="K55" s="19" t="str">
        <x:v>04 02 00 01</x:v>
      </x:c>
      <x:c r="L55" s="19" t="str">
        <x:v>POS1_TIMEOUT</x:v>
      </x:c>
      <x:c r="M55" s="19" t="str">
        <x:v>candidate:layered/L3_group/step_03_bottle_position_detection.group.json</x:v>
      </x:c>
    </x:row>
    <x:row r="56" ht="34.5" customHeight="1">
      <x:c r="A56" s="15" t="str">
        <x:v>orange_small</x:v>
      </x:c>
      <x:c r="B56" s="17" t="n">
        <x:v>3</x:v>
      </x:c>
      <x:c r="C56" s="17" t="n">
        <x:v>4</x:v>
      </x:c>
      <x:c r="D56" s="15" t="str">
        <x:v>legacy</x:v>
      </x:c>
      <x:c r="E56" s="15" t="str">
        <x:v>每瓶一次；每配方12次</x:v>
      </x:c>
      <x:c r="F56" s="15" t="str">
        <x:v>BottleSensor</x:v>
      </x:c>
      <x:c r="G56" s="15" t="str"/>
      <x:c r="H56" s="15" t="str">
        <x:v>04 00 35 00 01</x:v>
      </x:c>
      <x:c r="I56" s="15" t="str">
        <x:v>Check station 2 sensor</x:v>
      </x:c>
      <x:c r="J56" s="15" t="str">
        <x:v>每50ms；截止3000ms</x:v>
      </x:c>
      <x:c r="K56" s="15" t="str">
        <x:v>04 02 00 01</x:v>
      </x:c>
      <x:c r="L56" s="15" t="str">
        <x:v>POS2_TIMEOUT</x:v>
      </x:c>
      <x:c r="M56" s="15" t="str">
        <x:v>candidate:layered/L3_group/step_03_bottle_position_detection.group.json</x:v>
      </x:c>
    </x:row>
    <x:row r="57" ht="34.5" customHeight="1">
      <x:c r="A57" s="19" t="str">
        <x:v>orange_small</x:v>
      </x:c>
      <x:c r="B57" s="18" t="n">
        <x:v>3</x:v>
      </x:c>
      <x:c r="C57" s="18" t="n">
        <x:v>5</x:v>
      </x:c>
      <x:c r="D57" s="19" t="str">
        <x:v>legacy</x:v>
      </x:c>
      <x:c r="E57" s="19" t="str">
        <x:v>每瓶一次；每配方12次</x:v>
      </x:c>
      <x:c r="F57" s="19" t="str">
        <x:v>BottleSensor</x:v>
      </x:c>
      <x:c r="G57" s="19" t="str"/>
      <x:c r="H57" s="19" t="str">
        <x:v>04 00 36 00 01</x:v>
      </x:c>
      <x:c r="I57" s="19" t="str">
        <x:v>Check station 3 sensor</x:v>
      </x:c>
      <x:c r="J57" s="19" t="str">
        <x:v>每50ms；截止3000ms</x:v>
      </x:c>
      <x:c r="K57" s="19" t="str">
        <x:v>04 02 00 01</x:v>
      </x:c>
      <x:c r="L57" s="19" t="str">
        <x:v>POS3_TIMEOUT</x:v>
      </x:c>
      <x:c r="M57" s="19" t="str">
        <x:v>candidate:layered/L3_group/step_03_bottle_position_detection.group.json</x:v>
      </x:c>
    </x:row>
    <x:row r="58" ht="34.5" customHeight="1">
      <x:c r="A58" s="15" t="str">
        <x:v>orange_small</x:v>
      </x:c>
      <x:c r="B58" s="17" t="n">
        <x:v>3</x:v>
      </x:c>
      <x:c r="C58" s="17" t="n">
        <x:v>6</x:v>
      </x:c>
      <x:c r="D58" s="15" t="str">
        <x:v>legacy</x:v>
      </x:c>
      <x:c r="E58" s="15" t="str">
        <x:v>每瓶一次；每配方12次</x:v>
      </x:c>
      <x:c r="F58" s="15" t="str">
        <x:v>BottleSensor</x:v>
      </x:c>
      <x:c r="G58" s="15" t="str"/>
      <x:c r="H58" s="15" t="str">
        <x:v>04 00 37 00 01</x:v>
      </x:c>
      <x:c r="I58" s="15" t="str">
        <x:v>Check station 4 sensor</x:v>
      </x:c>
      <x:c r="J58" s="15" t="str">
        <x:v>每50ms；截止3000ms</x:v>
      </x:c>
      <x:c r="K58" s="15" t="str">
        <x:v>04 02 00 01</x:v>
      </x:c>
      <x:c r="L58" s="15" t="str">
        <x:v>POS4_TIMEOUT</x:v>
      </x:c>
      <x:c r="M58" s="15" t="str">
        <x:v>candidate:layered/L3_group/step_03_bottle_position_detection.group.json</x:v>
      </x:c>
    </x:row>
    <x:row r="59" ht="34.5" customHeight="1">
      <x:c r="A59" s="19" t="str">
        <x:v>orange_small</x:v>
      </x:c>
      <x:c r="B59" s="18" t="n">
        <x:v>3</x:v>
      </x:c>
      <x:c r="C59" s="18" t="n">
        <x:v>7</x:v>
      </x:c>
      <x:c r="D59" s="19" t="str">
        <x:v>legacy</x:v>
      </x:c>
      <x:c r="E59" s="19" t="str">
        <x:v>每瓶一次；每配方12次</x:v>
      </x:c>
      <x:c r="F59" s="19" t="str">
        <x:v>BottleSensor</x:v>
      </x:c>
      <x:c r="G59" s="19" t="str"/>
      <x:c r="H59" s="19" t="str">
        <x:v>04 00 34 00 01；解码={"cacheStartByte":2,"cacheLength":2,"cacheEndian":"big","valueType":"uint16"}</x:v>
      </x:c>
      <x:c r="I59" s="19" t="str">
        <x:v>缓存pos1State</x:v>
      </x:c>
      <x:c r="J59" s="19" t="str"/>
      <x:c r="K59" s="19" t="str"/>
      <x:c r="L59" s="19" t="str"/>
      <x:c r="M59" s="19" t="str">
        <x:v>candidate:layered/L3_group/step_03_bottle_position_detection.group.json</x:v>
      </x:c>
    </x:row>
    <x:row r="60" ht="34.5" customHeight="1">
      <x:c r="A60" s="15" t="str">
        <x:v>orange_small</x:v>
      </x:c>
      <x:c r="B60" s="17" t="n">
        <x:v>3</x:v>
      </x:c>
      <x:c r="C60" s="17" t="n">
        <x:v>8</x:v>
      </x:c>
      <x:c r="D60" s="15" t="str">
        <x:v>legacy</x:v>
      </x:c>
      <x:c r="E60" s="15" t="str">
        <x:v>每瓶一次；每配方12次</x:v>
      </x:c>
      <x:c r="F60" s="15" t="str">
        <x:v>BottleSensor</x:v>
      </x:c>
      <x:c r="G60" s="15" t="str"/>
      <x:c r="H60" s="15" t="str">
        <x:v>04 00 35 00 01；解码={"cacheStartByte":2,"cacheLength":2,"cacheEndian":"big","valueType":"uint16"}</x:v>
      </x:c>
      <x:c r="I60" s="15" t="str">
        <x:v>缓存pos2State</x:v>
      </x:c>
      <x:c r="J60" s="15" t="str"/>
      <x:c r="K60" s="15" t="str"/>
      <x:c r="L60" s="15" t="str"/>
      <x:c r="M60" s="15" t="str">
        <x:v>candidate:layered/L3_group/step_03_bottle_position_detection.group.json</x:v>
      </x:c>
    </x:row>
    <x:row r="61" ht="34.5" customHeight="1">
      <x:c r="A61" s="19" t="str">
        <x:v>orange_small</x:v>
      </x:c>
      <x:c r="B61" s="18" t="n">
        <x:v>3</x:v>
      </x:c>
      <x:c r="C61" s="18" t="n">
        <x:v>9</x:v>
      </x:c>
      <x:c r="D61" s="19" t="str">
        <x:v>legacy</x:v>
      </x:c>
      <x:c r="E61" s="19" t="str">
        <x:v>每瓶一次；每配方12次</x:v>
      </x:c>
      <x:c r="F61" s="19" t="str">
        <x:v>BottleSensor</x:v>
      </x:c>
      <x:c r="G61" s="19" t="str"/>
      <x:c r="H61" s="19" t="str">
        <x:v>04 00 36 00 01；解码={"cacheStartByte":2,"cacheLength":2,"cacheEndian":"big","valueType":"uint16"}</x:v>
      </x:c>
      <x:c r="I61" s="19" t="str">
        <x:v>缓存pos3State</x:v>
      </x:c>
      <x:c r="J61" s="19" t="str"/>
      <x:c r="K61" s="19" t="str"/>
      <x:c r="L61" s="19" t="str"/>
      <x:c r="M61" s="19" t="str">
        <x:v>candidate:layered/L3_group/step_03_bottle_position_detection.group.json</x:v>
      </x:c>
    </x:row>
    <x:row r="62" ht="34.5" customHeight="1">
      <x:c r="A62" s="15" t="str">
        <x:v>orange_small</x:v>
      </x:c>
      <x:c r="B62" s="17" t="n">
        <x:v>3</x:v>
      </x:c>
      <x:c r="C62" s="17" t="n">
        <x:v>10</x:v>
      </x:c>
      <x:c r="D62" s="15" t="str">
        <x:v>legacy</x:v>
      </x:c>
      <x:c r="E62" s="15" t="str">
        <x:v>每瓶一次；每配方12次</x:v>
      </x:c>
      <x:c r="F62" s="15" t="str">
        <x:v>BottleSensor</x:v>
      </x:c>
      <x:c r="G62" s="15" t="str"/>
      <x:c r="H62" s="15" t="str">
        <x:v>04 00 37 00 01；解码={"cacheStartByte":2,"cacheLength":2,"cacheEndian":"big","valueType":"uint16"}</x:v>
      </x:c>
      <x:c r="I62" s="15" t="str">
        <x:v>缓存pos4State</x:v>
      </x:c>
      <x:c r="J62" s="15" t="str"/>
      <x:c r="K62" s="15" t="str"/>
      <x:c r="L62" s="15" t="str"/>
      <x:c r="M62" s="15" t="str">
        <x:v>candidate:layered/L3_group/step_03_bottle_position_detection.group.json</x:v>
      </x:c>
    </x:row>
    <x:row r="63" ht="34.5" customHeight="1">
      <x:c r="A63" s="19" t="str">
        <x:v>orange_small</x:v>
      </x:c>
      <x:c r="B63" s="18" t="n">
        <x:v>3</x:v>
      </x:c>
      <x:c r="C63" s="18" t="n">
        <x:v>11</x:v>
      </x:c>
      <x:c r="D63" s="19" t="str">
        <x:v>legacy</x:v>
      </x:c>
      <x:c r="E63" s="19" t="str">
        <x:v>每瓶一次；每配方12次</x:v>
      </x:c>
      <x:c r="F63" s="19" t="str">
        <x:v>FlowMeter</x:v>
      </x:c>
      <x:c r="G63" s="19" t="str"/>
      <x:c r="H63" s="19" t="str">
        <x:v>03 00 20 00 02；解码={"cacheStartByte":2,"cacheLength":4,"cacheEndian":"big","valueType":"int"}</x:v>
      </x:c>
      <x:c r="I63" s="19" t="str">
        <x:v>缓存bottleCount</x:v>
      </x:c>
      <x:c r="J63" s="19" t="str"/>
      <x:c r="K63" s="19" t="str"/>
      <x:c r="L63" s="19" t="str"/>
      <x:c r="M63" s="19" t="str">
        <x:v>candidate:layered/L3_group/step_03_bottle_position_detection.group.json</x:v>
      </x:c>
    </x:row>
    <x:row r="64" ht="34.5" customHeight="1">
      <x:c r="A64" s="15" t="str">
        <x:v>orange_small</x:v>
      </x:c>
      <x:c r="B64" s="17" t="n">
        <x:v>3</x:v>
      </x:c>
      <x:c r="C64" s="17" t="n">
        <x:v>12</x:v>
      </x:c>
      <x:c r="D64" s="15" t="str">
        <x:v>legacy</x:v>
      </x:c>
      <x:c r="E64" s="15" t="str">
        <x:v>每瓶一次；每配方12次</x:v>
      </x:c>
      <x:c r="F64" s="15" t="str"/>
      <x:c r="G64" s="15" t="str"/>
      <x:c r="H64" s="15" t="str">
        <x:v>BottleState</x:v>
      </x:c>
      <x:c r="I64" s="15" t="str">
        <x:v>更新UI=all ready</x:v>
      </x:c>
      <x:c r="J64" s="15" t="str"/>
      <x:c r="K64" s="15" t="str"/>
      <x:c r="L64" s="15" t="str"/>
      <x:c r="M64" s="15" t="str">
        <x:v>candidate:layered/L3_group/step_03_bottle_position_detection.group.json</x:v>
      </x:c>
    </x:row>
    <x:row r="65" ht="34.5" customHeight="1">
      <x:c r="A65" s="19" t="str">
        <x:v>orange_small</x:v>
      </x:c>
      <x:c r="B65" s="18" t="n">
        <x:v>4</x:v>
      </x:c>
      <x:c r="C65" s="18" t="n">
        <x:v>1</x:v>
      </x:c>
      <x:c r="D65" s="19" t="str">
        <x:v>legacy</x:v>
      </x:c>
      <x:c r="E65" s="19" t="str">
        <x:v>每瓶一次；每配方12次</x:v>
      </x:c>
      <x:c r="F65" s="19" t="str"/>
      <x:c r="G65" s="19" t="str"/>
      <x:c r="H65" s="19" t="str">
        <x:v>stage</x:v>
      </x:c>
      <x:c r="I65" s="19" t="str">
        <x:v>更新UI=04</x:v>
      </x:c>
      <x:c r="J65" s="19" t="str"/>
      <x:c r="K65" s="19" t="str"/>
      <x:c r="L65" s="19" t="str"/>
      <x:c r="M65" s="19" t="str">
        <x:v>candidate:layered/L3_group/step_04_in_bottle_rinsing.group.json</x:v>
      </x:c>
    </x:row>
    <x:row r="66" ht="34.5" customHeight="1">
      <x:c r="A66" s="15" t="str">
        <x:v>orange_small</x:v>
      </x:c>
      <x:c r="B66" s="17" t="n">
        <x:v>4</x:v>
      </x:c>
      <x:c r="C66" s="17" t="n">
        <x:v>2</x:v>
      </x:c>
      <x:c r="D66" s="15" t="str">
        <x:v>move</x:v>
      </x:c>
      <x:c r="E66" s="15" t="str">
        <x:v>每瓶一次；每配方12次</x:v>
      </x:c>
      <x:c r="F66" s="15" t="str">
        <x:v>X / Y1 / Y2 / Z</x:v>
      </x:c>
      <x:c r="G66" s="15" t="n">
        <x:v>33</x:v>
      </x:c>
      <x:c r="H66" s="15" t="str">
        <x:v>empty_entry</x:v>
      </x:c>
      <x:c r="I66" s="15" t="str">
        <x:v>移动至 small empty entry；PR=(3,3,3,1)；仅变化轴触发</x:v>
      </x:c>
      <x:c r="J66" s="15" t="str">
        <x:v>四电机各20ms轮询/4000ms截止</x:v>
      </x:c>
      <x:c r="K66" s="15" t="str">
        <x:v>全部就绪；缓存四位置；UI使用X/Y1/Z</x:v>
      </x:c>
      <x:c r="L66" s="15" t="str">
        <x:v>MOTION_TIMEOUT</x:v>
      </x:c>
      <x:c r="M66" s="15" t="str">
        <x:v>candidate:layered/L3_group/step_04_in_bottle_rinsing.group.json</x:v>
      </x:c>
    </x:row>
    <x:row r="67" ht="34.5" customHeight="1">
      <x:c r="A67" s="19" t="str">
        <x:v>orange_small</x:v>
      </x:c>
      <x:c r="B67" s="18" t="n">
        <x:v>4</x:v>
      </x:c>
      <x:c r="C67" s="18" t="n">
        <x:v>3</x:v>
      </x:c>
      <x:c r="D67" s="19" t="str">
        <x:v>move</x:v>
      </x:c>
      <x:c r="E67" s="19" t="str">
        <x:v>每瓶一次；每配方12次</x:v>
      </x:c>
      <x:c r="F67" s="19" t="str">
        <x:v>X / Y1 / Y2 / Z</x:v>
      </x:c>
      <x:c r="G67" s="19" t="n">
        <x:v>35</x:v>
      </x:c>
      <x:c r="H67" s="19" t="str">
        <x:v>rinse_entry</x:v>
      </x:c>
      <x:c r="I67" s="19" t="str">
        <x:v>移动至 small rinse entry；PR=(13,3,3,1)；仅变化轴触发</x:v>
      </x:c>
      <x:c r="J67" s="19" t="str">
        <x:v>四电机各20ms轮询/4000ms截止</x:v>
      </x:c>
      <x:c r="K67" s="19" t="str">
        <x:v>全部就绪；缓存四位置；UI使用X/Y1/Z</x:v>
      </x:c>
      <x:c r="L67" s="19" t="str">
        <x:v>MOTION_TIMEOUT</x:v>
      </x:c>
      <x:c r="M67" s="19" t="str">
        <x:v>candidate:layered/L3_group/step_04_in_bottle_rinsing.group.json</x:v>
      </x:c>
    </x:row>
    <x:row r="68" ht="34.5" customHeight="1">
      <x:c r="A68" s="15" t="str">
        <x:v>orange_small</x:v>
      </x:c>
      <x:c r="B68" s="17" t="n">
        <x:v>4</x:v>
      </x:c>
      <x:c r="C68" s="17" t="n">
        <x:v>4</x:v>
      </x:c>
      <x:c r="D68" s="15" t="str">
        <x:v>move</x:v>
      </x:c>
      <x:c r="E68" s="15" t="str">
        <x:v>每瓶一次；每配方12次</x:v>
      </x:c>
      <x:c r="F68" s="15" t="str">
        <x:v>X / Y1 / Y2 / Z</x:v>
      </x:c>
      <x:c r="G68" s="15" t="n">
        <x:v>36</x:v>
      </x:c>
      <x:c r="H68" s="15" t="str">
        <x:v>rinse_work</x:v>
      </x:c>
      <x:c r="I68" s="15" t="str">
        <x:v>移动至 small rinse work；PR=(13,3,3,4)；仅变化轴触发</x:v>
      </x:c>
      <x:c r="J68" s="15" t="str">
        <x:v>四电机各20ms轮询/4000ms截止</x:v>
      </x:c>
      <x:c r="K68" s="15" t="str">
        <x:v>全部就绪；缓存四位置；UI使用X/Y1/Z</x:v>
      </x:c>
      <x:c r="L68" s="15" t="str">
        <x:v>MOTION_TIMEOUT</x:v>
      </x:c>
      <x:c r="M68" s="15" t="str">
        <x:v>candidate:layered/L3_group/step_04_in_bottle_rinsing.group.json</x:v>
      </x:c>
    </x:row>
    <x:row r="69" ht="34.5" customHeight="1">
      <x:c r="A69" s="19" t="str">
        <x:v>orange_small</x:v>
      </x:c>
      <x:c r="B69" s="18" t="n">
        <x:v>4</x:v>
      </x:c>
      <x:c r="C69" s="18" t="n">
        <x:v>5</x:v>
      </x:c>
      <x:c r="D69" s="19" t="str">
        <x:v>legacy</x:v>
      </x:c>
      <x:c r="E69" s="19" t="str">
        <x:v>每瓶一次；每配方12次</x:v>
      </x:c>
      <x:c r="F69" s="19" t="str">
        <x:v>RinseValve</x:v>
      </x:c>
      <x:c r="G69" s="19" t="str"/>
      <x:c r="H69" s="19" t="str">
        <x:v>05 00 12 FF 00</x:v>
      </x:c>
      <x:c r="I69" s="19" t="str">
        <x:v>open Rinse valve</x:v>
      </x:c>
      <x:c r="J69" s="19" t="str"/>
      <x:c r="K69" s="19" t="str">
        <x:v>响应回显=05 00 12 FF 00</x:v>
      </x:c>
      <x:c r="L69" s="19" t="str"/>
      <x:c r="M69" s="19" t="str">
        <x:v>candidate:layered/L3_group/step_04_in_bottle_rinsing.group.json</x:v>
      </x:c>
    </x:row>
    <x:row r="70" ht="34.5" customHeight="1">
      <x:c r="A70" s="15" t="str">
        <x:v>orange_small</x:v>
      </x:c>
      <x:c r="B70" s="17" t="n">
        <x:v>4</x:v>
      </x:c>
      <x:c r="C70" s="17" t="n">
        <x:v>6</x:v>
      </x:c>
      <x:c r="D70" s="15" t="str">
        <x:v>legacy</x:v>
      </x:c>
      <x:c r="E70" s="15" t="str">
        <x:v>每瓶一次；每配方12次</x:v>
      </x:c>
      <x:c r="F70" s="15" t="str"/>
      <x:c r="G70" s="15" t="str"/>
      <x:c r="H70" s="15" t="str"/>
      <x:c r="I70" s="15" t="str">
        <x:v>显式等待(ms)</x:v>
      </x:c>
      <x:c r="J70" s="15" t="n">
        <x:v>5000</x:v>
      </x:c>
      <x:c r="K70" s="15" t="str"/>
      <x:c r="L70" s="15" t="str"/>
      <x:c r="M70" s="15" t="str">
        <x:v>candidate:layered/L3_group/step_04_in_bottle_rinsing.group.json</x:v>
      </x:c>
    </x:row>
    <x:row r="71" ht="34.5" customHeight="1">
      <x:c r="A71" s="19" t="str">
        <x:v>orange_small</x:v>
      </x:c>
      <x:c r="B71" s="18" t="n">
        <x:v>4</x:v>
      </x:c>
      <x:c r="C71" s="18" t="n">
        <x:v>7</x:v>
      </x:c>
      <x:c r="D71" s="19" t="str">
        <x:v>legacy</x:v>
      </x:c>
      <x:c r="E71" s="19" t="str">
        <x:v>每瓶一次；每配方12次</x:v>
      </x:c>
      <x:c r="F71" s="19" t="str">
        <x:v>RinseValve</x:v>
      </x:c>
      <x:c r="G71" s="19" t="str"/>
      <x:c r="H71" s="19" t="str">
        <x:v>05 00 12 00 00</x:v>
      </x:c>
      <x:c r="I71" s="19" t="str">
        <x:v>close Rinse valve</x:v>
      </x:c>
      <x:c r="J71" s="19" t="str"/>
      <x:c r="K71" s="19" t="str">
        <x:v>响应回显=05 00 12 00 00</x:v>
      </x:c>
      <x:c r="L71" s="19" t="str"/>
      <x:c r="M71" s="19" t="str">
        <x:v>candidate:layered/L3_group/step_04_in_bottle_rinsing.group.json</x:v>
      </x:c>
    </x:row>
    <x:row r="72" ht="34.5" customHeight="1">
      <x:c r="A72" s="15" t="str">
        <x:v>orange_small</x:v>
      </x:c>
      <x:c r="B72" s="17" t="n">
        <x:v>4</x:v>
      </x:c>
      <x:c r="C72" s="17" t="n">
        <x:v>8</x:v>
      </x:c>
      <x:c r="D72" s="15" t="str">
        <x:v>legacy</x:v>
      </x:c>
      <x:c r="E72" s="15" t="str">
        <x:v>每瓶一次；每配方12次</x:v>
      </x:c>
      <x:c r="F72" s="15" t="str">
        <x:v>PressureSensor</x:v>
      </x:c>
      <x:c r="G72" s="15" t="str"/>
      <x:c r="H72" s="15" t="str">
        <x:v>03 00 10 00 02；解码={"valueStartByte":2,"valueLength":4,"valueEndian":"little","valueType":"float"}</x:v>
      </x:c>
      <x:c r="I72" s="15" t="str">
        <x:v>check Rinse pressure&gt;=0.2MPa</x:v>
      </x:c>
      <x:c r="J72" s="15" t="str"/>
      <x:c r="K72" s="15" t="str">
        <x:v>greaterOrEqual 0.2</x:v>
      </x:c>
      <x:c r="L72" s="15" t="str">
        <x:v>RINSE_PRESSURE_LOW</x:v>
      </x:c>
      <x:c r="M72" s="15" t="str">
        <x:v>candidate:layered/L3_group/step_04_in_bottle_rinsing.group.json</x:v>
      </x:c>
    </x:row>
    <x:row r="73" ht="34.5" customHeight="1">
      <x:c r="A73" s="19" t="str">
        <x:v>orange_small</x:v>
      </x:c>
      <x:c r="B73" s="18" t="n">
        <x:v>4</x:v>
      </x:c>
      <x:c r="C73" s="18" t="n">
        <x:v>9</x:v>
      </x:c>
      <x:c r="D73" s="19" t="str">
        <x:v>legacy</x:v>
      </x:c>
      <x:c r="E73" s="19" t="str">
        <x:v>每瓶一次；每配方12次</x:v>
      </x:c>
      <x:c r="F73" s="19" t="str">
        <x:v>CIPValve</x:v>
      </x:c>
      <x:c r="G73" s="19" t="str"/>
      <x:c r="H73" s="19" t="str">
        <x:v>05 00 13 FF 00</x:v>
      </x:c>
      <x:c r="I73" s="19" t="str">
        <x:v>open Sanitize valve</x:v>
      </x:c>
      <x:c r="J73" s="19" t="str"/>
      <x:c r="K73" s="19" t="str">
        <x:v>响应回显=05 00 13 FF 00</x:v>
      </x:c>
      <x:c r="L73" s="19" t="str"/>
      <x:c r="M73" s="19" t="str">
        <x:v>candidate:layered/L3_group/step_04_in_bottle_rinsing.group.json</x:v>
      </x:c>
    </x:row>
    <x:row r="74" ht="34.5" customHeight="1">
      <x:c r="A74" s="15" t="str">
        <x:v>orange_small</x:v>
      </x:c>
      <x:c r="B74" s="17" t="n">
        <x:v>4</x:v>
      </x:c>
      <x:c r="C74" s="17" t="n">
        <x:v>10</x:v>
      </x:c>
      <x:c r="D74" s="15" t="str">
        <x:v>legacy</x:v>
      </x:c>
      <x:c r="E74" s="15" t="str">
        <x:v>每瓶一次；每配方12次</x:v>
      </x:c>
      <x:c r="F74" s="15" t="str"/>
      <x:c r="G74" s="15" t="str"/>
      <x:c r="H74" s="15" t="str"/>
      <x:c r="I74" s="15" t="str">
        <x:v>显式等待(ms)</x:v>
      </x:c>
      <x:c r="J74" s="15" t="n">
        <x:v>3000</x:v>
      </x:c>
      <x:c r="K74" s="15" t="str"/>
      <x:c r="L74" s="15" t="str"/>
      <x:c r="M74" s="15" t="str">
        <x:v>candidate:layered/L3_group/step_04_in_bottle_rinsing.group.json</x:v>
      </x:c>
    </x:row>
    <x:row r="75" ht="34.5" customHeight="1">
      <x:c r="A75" s="19" t="str">
        <x:v>orange_small</x:v>
      </x:c>
      <x:c r="B75" s="18" t="n">
        <x:v>4</x:v>
      </x:c>
      <x:c r="C75" s="18" t="n">
        <x:v>11</x:v>
      </x:c>
      <x:c r="D75" s="19" t="str">
        <x:v>legacy</x:v>
      </x:c>
      <x:c r="E75" s="19" t="str">
        <x:v>每瓶一次；每配方12次</x:v>
      </x:c>
      <x:c r="F75" s="19" t="str">
        <x:v>CIPValve</x:v>
      </x:c>
      <x:c r="G75" s="19" t="str"/>
      <x:c r="H75" s="19" t="str">
        <x:v>05 00 13 00 00</x:v>
      </x:c>
      <x:c r="I75" s="19" t="str">
        <x:v>close Sanitize valve</x:v>
      </x:c>
      <x:c r="J75" s="19" t="str"/>
      <x:c r="K75" s="19" t="str">
        <x:v>响应回显=05 00 13 00 00</x:v>
      </x:c>
      <x:c r="L75" s="19" t="str"/>
      <x:c r="M75" s="19" t="str">
        <x:v>candidate:layered/L3_group/step_04_in_bottle_rinsing.group.json</x:v>
      </x:c>
    </x:row>
    <x:row r="76" ht="34.5" customHeight="1">
      <x:c r="A76" s="15" t="str">
        <x:v>orange_small</x:v>
      </x:c>
      <x:c r="B76" s="17" t="n">
        <x:v>4</x:v>
      </x:c>
      <x:c r="C76" s="17" t="n">
        <x:v>12</x:v>
      </x:c>
      <x:c r="D76" s="15" t="str">
        <x:v>legacy</x:v>
      </x:c>
      <x:c r="E76" s="15" t="str">
        <x:v>每瓶一次；每配方12次</x:v>
      </x:c>
      <x:c r="F76" s="15" t="str">
        <x:v>CIPValve</x:v>
      </x:c>
      <x:c r="G76" s="15" t="str"/>
      <x:c r="H76" s="15" t="str">
        <x:v>05 00 14 FF 00</x:v>
      </x:c>
      <x:c r="I76" s="15" t="str">
        <x:v>open Drain valve</x:v>
      </x:c>
      <x:c r="J76" s="15" t="str"/>
      <x:c r="K76" s="15" t="str">
        <x:v>响应回显=05 00 14 FF 00</x:v>
      </x:c>
      <x:c r="L76" s="15" t="str"/>
      <x:c r="M76" s="15" t="str">
        <x:v>candidate:layered/L3_group/step_04_in_bottle_rinsing.group.json</x:v>
      </x:c>
    </x:row>
    <x:row r="77" ht="34.5" customHeight="1">
      <x:c r="A77" s="19" t="str">
        <x:v>orange_small</x:v>
      </x:c>
      <x:c r="B77" s="18" t="n">
        <x:v>4</x:v>
      </x:c>
      <x:c r="C77" s="18" t="n">
        <x:v>13</x:v>
      </x:c>
      <x:c r="D77" s="19" t="str">
        <x:v>legacy</x:v>
      </x:c>
      <x:c r="E77" s="19" t="str">
        <x:v>每瓶一次；每配方12次</x:v>
      </x:c>
      <x:c r="F77" s="19" t="str"/>
      <x:c r="G77" s="19" t="str"/>
      <x:c r="H77" s="19" t="str"/>
      <x:c r="I77" s="19" t="str">
        <x:v>显式等待(ms)</x:v>
      </x:c>
      <x:c r="J77" s="19" t="n">
        <x:v>3000</x:v>
      </x:c>
      <x:c r="K77" s="19" t="str"/>
      <x:c r="L77" s="19" t="str"/>
      <x:c r="M77" s="19" t="str">
        <x:v>candidate:layered/L3_group/step_04_in_bottle_rinsing.group.json</x:v>
      </x:c>
    </x:row>
    <x:row r="78" ht="34.5" customHeight="1">
      <x:c r="A78" s="15" t="str">
        <x:v>orange_small</x:v>
      </x:c>
      <x:c r="B78" s="17" t="n">
        <x:v>4</x:v>
      </x:c>
      <x:c r="C78" s="17" t="n">
        <x:v>14</x:v>
      </x:c>
      <x:c r="D78" s="15" t="str">
        <x:v>legacy</x:v>
      </x:c>
      <x:c r="E78" s="15" t="str">
        <x:v>每瓶一次；每配方12次</x:v>
      </x:c>
      <x:c r="F78" s="15" t="str">
        <x:v>CIPValve</x:v>
      </x:c>
      <x:c r="G78" s="15" t="str"/>
      <x:c r="H78" s="15" t="str">
        <x:v>05 00 14 00 00</x:v>
      </x:c>
      <x:c r="I78" s="15" t="str">
        <x:v>close Drain valve</x:v>
      </x:c>
      <x:c r="J78" s="15" t="str"/>
      <x:c r="K78" s="15" t="str">
        <x:v>响应回显=05 00 14 00 00</x:v>
      </x:c>
      <x:c r="L78" s="15" t="str"/>
      <x:c r="M78" s="15" t="str">
        <x:v>candidate:layered/L3_group/step_04_in_bottle_rinsing.group.json</x:v>
      </x:c>
    </x:row>
    <x:row r="79" ht="34.5" customHeight="1">
      <x:c r="A79" s="19" t="str">
        <x:v>orange_small</x:v>
      </x:c>
      <x:c r="B79" s="18" t="n">
        <x:v>4</x:v>
      </x:c>
      <x:c r="C79" s="18" t="n">
        <x:v>15</x:v>
      </x:c>
      <x:c r="D79" s="19" t="str">
        <x:v>legacy</x:v>
      </x:c>
      <x:c r="E79" s="19" t="str">
        <x:v>每瓶一次；每配方12次</x:v>
      </x:c>
      <x:c r="F79" s="19" t="str"/>
      <x:c r="G79" s="19" t="str"/>
      <x:c r="H79" s="19" t="str">
        <x:v>WashState</x:v>
      </x:c>
      <x:c r="I79" s="19" t="str">
        <x:v>更新UI=done</x:v>
      </x:c>
      <x:c r="J79" s="19" t="str"/>
      <x:c r="K79" s="19" t="str"/>
      <x:c r="L79" s="19" t="str"/>
      <x:c r="M79" s="19" t="str">
        <x:v>candidate:layered/L3_group/step_04_in_bottle_rinsing.group.json</x:v>
      </x:c>
    </x:row>
    <x:row r="80" ht="34.5" customHeight="1">
      <x:c r="A80" s="15" t="str">
        <x:v>orange_small</x:v>
      </x:c>
      <x:c r="B80" s="17" t="n">
        <x:v>4</x:v>
      </x:c>
      <x:c r="C80" s="17" t="n">
        <x:v>16</x:v>
      </x:c>
      <x:c r="D80" s="15" t="str">
        <x:v>move</x:v>
      </x:c>
      <x:c r="E80" s="15" t="str">
        <x:v>每瓶一次；每配方12次</x:v>
      </x:c>
      <x:c r="F80" s="15" t="str">
        <x:v>X / Y1 / Y2 / Z</x:v>
      </x:c>
      <x:c r="G80" s="15" t="n">
        <x:v>35</x:v>
      </x:c>
      <x:c r="H80" s="15" t="str">
        <x:v>rinse_entry</x:v>
      </x:c>
      <x:c r="I80" s="15" t="str">
        <x:v>移动至 small rinse entry；PR=(13,3,3,1)；仅变化轴触发</x:v>
      </x:c>
      <x:c r="J80" s="15" t="str">
        <x:v>四电机各20ms轮询/4000ms截止</x:v>
      </x:c>
      <x:c r="K80" s="15" t="str">
        <x:v>全部就绪；缓存四位置；UI使用X/Y1/Z</x:v>
      </x:c>
      <x:c r="L80" s="15" t="str">
        <x:v>MOTION_TIMEOUT</x:v>
      </x:c>
      <x:c r="M80" s="15" t="str">
        <x:v>candidate:layered/L3_group/step_04_in_bottle_rinsing.group.json</x:v>
      </x:c>
    </x:row>
    <x:row r="81" ht="34.5" customHeight="1">
      <x:c r="A81" s="19" t="str">
        <x:v>orange_small</x:v>
      </x:c>
      <x:c r="B81" s="18" t="n">
        <x:v>5</x:v>
      </x:c>
      <x:c r="C81" s="18" t="n">
        <x:v>1</x:v>
      </x:c>
      <x:c r="D81" s="19" t="str">
        <x:v>legacy</x:v>
      </x:c>
      <x:c r="E81" s="19" t="str">
        <x:v>每瓶一次；每配方12次</x:v>
      </x:c>
      <x:c r="F81" s="19" t="str"/>
      <x:c r="G81" s="19" t="str"/>
      <x:c r="H81" s="19" t="str">
        <x:v>stage</x:v>
      </x:c>
      <x:c r="I81" s="19" t="str">
        <x:v>更新UI=05</x:v>
      </x:c>
      <x:c r="J81" s="19" t="str"/>
      <x:c r="K81" s="19" t="str"/>
      <x:c r="L81" s="19" t="str"/>
      <x:c r="M81" s="19" t="str">
        <x:v>candidate:layered/L3_group/step_05_filling_positioning.group.json</x:v>
      </x:c>
    </x:row>
    <x:row r="82" ht="34.5" customHeight="1">
      <x:c r="A82" s="15" t="str">
        <x:v>orange_small</x:v>
      </x:c>
      <x:c r="B82" s="17" t="n">
        <x:v>5</x:v>
      </x:c>
      <x:c r="C82" s="17" t="n">
        <x:v>2</x:v>
      </x:c>
      <x:c r="D82" s="15" t="str">
        <x:v>move</x:v>
      </x:c>
      <x:c r="E82" s="15" t="str">
        <x:v>每瓶一次；每配方12次</x:v>
      </x:c>
      <x:c r="F82" s="15" t="str">
        <x:v>X / Y1 / Y2 / Z</x:v>
      </x:c>
      <x:c r="G82" s="15" t="n">
        <x:v>37</x:v>
      </x:c>
      <x:c r="H82" s="15" t="str">
        <x:v>fill_entry</x:v>
      </x:c>
      <x:c r="I82" s="15" t="str">
        <x:v>移动至 orange small fill entry；PR=(4,12,12,1)；仅变化轴触发</x:v>
      </x:c>
      <x:c r="J82" s="15" t="str">
        <x:v>四电机各20ms轮询/4000ms截止</x:v>
      </x:c>
      <x:c r="K82" s="15" t="str">
        <x:v>全部就绪；缓存四位置；UI使用X/Y1/Z</x:v>
      </x:c>
      <x:c r="L82" s="15" t="str">
        <x:v>MOTION_TIMEOUT</x:v>
      </x:c>
      <x:c r="M82" s="15" t="str">
        <x:v>candidate:layered/L3_group/step_05_filling_positioning.group.json</x:v>
      </x:c>
    </x:row>
    <x:row r="83" ht="34.5" customHeight="1">
      <x:c r="A83" s="19" t="str">
        <x:v>orange_small</x:v>
      </x:c>
      <x:c r="B83" s="18" t="n">
        <x:v>5</x:v>
      </x:c>
      <x:c r="C83" s="18" t="n">
        <x:v>3</x:v>
      </x:c>
      <x:c r="D83" s="19" t="str">
        <x:v>move</x:v>
      </x:c>
      <x:c r="E83" s="19" t="str">
        <x:v>每瓶一次；每配方12次</x:v>
      </x:c>
      <x:c r="F83" s="19" t="str">
        <x:v>X / Y1 / Y2 / Z</x:v>
      </x:c>
      <x:c r="G83" s="19" t="n">
        <x:v>38</x:v>
      </x:c>
      <x:c r="H83" s="19" t="str">
        <x:v>fill_work</x:v>
      </x:c>
      <x:c r="I83" s="19" t="str">
        <x:v>移动至 orange small fill work；PR=(4,12,12,4)；仅变化轴触发</x:v>
      </x:c>
      <x:c r="J83" s="19" t="str">
        <x:v>四电机各20ms轮询/4000ms截止</x:v>
      </x:c>
      <x:c r="K83" s="19" t="str">
        <x:v>全部就绪；缓存四位置；UI使用X/Y1/Z</x:v>
      </x:c>
      <x:c r="L83" s="19" t="str">
        <x:v>MOTION_TIMEOUT</x:v>
      </x:c>
      <x:c r="M83" s="19" t="str">
        <x:v>candidate:layered/L3_group/step_05_filling_positioning.group.json</x:v>
      </x:c>
    </x:row>
    <x:row r="84" ht="34.5" customHeight="1">
      <x:c r="A84" s="15" t="str">
        <x:v>orange_small</x:v>
      </x:c>
      <x:c r="B84" s="17" t="n">
        <x:v>5</x:v>
      </x:c>
      <x:c r="C84" s="17" t="n">
        <x:v>4</x:v>
      </x:c>
      <x:c r="D84" s="15" t="str">
        <x:v>legacy</x:v>
      </x:c>
      <x:c r="E84" s="15" t="str">
        <x:v>每瓶一次；每配方12次</x:v>
      </x:c>
      <x:c r="F84" s="15" t="str">
        <x:v>BottleSensor</x:v>
      </x:c>
      <x:c r="G84" s="15" t="str"/>
      <x:c r="H84" s="15" t="str">
        <x:v>04 00 42 00 01</x:v>
      </x:c>
      <x:c r="I84" s="15" t="str">
        <x:v>Check station 1 arrival</x:v>
      </x:c>
      <x:c r="J84" s="15" t="str">
        <x:v>每50ms；截止3000ms</x:v>
      </x:c>
      <x:c r="K84" s="15" t="str">
        <x:v>04 02 00 01</x:v>
      </x:c>
      <x:c r="L84" s="15" t="str">
        <x:v>FILL1_POS_TIMEOUT</x:v>
      </x:c>
      <x:c r="M84" s="15" t="str">
        <x:v>candidate:layered/L3_group/step_05_filling_positioning.group.json</x:v>
      </x:c>
    </x:row>
    <x:row r="85" ht="34.5" customHeight="1">
      <x:c r="A85" s="19" t="str">
        <x:v>orange_small</x:v>
      </x:c>
      <x:c r="B85" s="18" t="n">
        <x:v>5</x:v>
      </x:c>
      <x:c r="C85" s="18" t="n">
        <x:v>5</x:v>
      </x:c>
      <x:c r="D85" s="19" t="str">
        <x:v>legacy</x:v>
      </x:c>
      <x:c r="E85" s="19" t="str">
        <x:v>每瓶一次；每配方12次</x:v>
      </x:c>
      <x:c r="F85" s="19" t="str">
        <x:v>BottleSensor</x:v>
      </x:c>
      <x:c r="G85" s="19" t="str"/>
      <x:c r="H85" s="19" t="str">
        <x:v>04 00 43 00 01</x:v>
      </x:c>
      <x:c r="I85" s="19" t="str">
        <x:v>Check station 2 arrival</x:v>
      </x:c>
      <x:c r="J85" s="19" t="str">
        <x:v>每50ms；截止3000ms</x:v>
      </x:c>
      <x:c r="K85" s="19" t="str">
        <x:v>04 02 00 01</x:v>
      </x:c>
      <x:c r="L85" s="19" t="str">
        <x:v>FILL2_POS_TIMEOUT</x:v>
      </x:c>
      <x:c r="M85" s="19" t="str">
        <x:v>candidate:layered/L3_group/step_05_filling_positioning.group.json</x:v>
      </x:c>
    </x:row>
    <x:row r="86" ht="34.5" customHeight="1">
      <x:c r="A86" s="15" t="str">
        <x:v>orange_small</x:v>
      </x:c>
      <x:c r="B86" s="17" t="n">
        <x:v>5</x:v>
      </x:c>
      <x:c r="C86" s="17" t="n">
        <x:v>6</x:v>
      </x:c>
      <x:c r="D86" s="15" t="str">
        <x:v>legacy</x:v>
      </x:c>
      <x:c r="E86" s="15" t="str">
        <x:v>每瓶一次；每配方12次</x:v>
      </x:c>
      <x:c r="F86" s="15" t="str">
        <x:v>BottleSensor</x:v>
      </x:c>
      <x:c r="G86" s="15" t="str"/>
      <x:c r="H86" s="15" t="str">
        <x:v>04 00 44 00 01</x:v>
      </x:c>
      <x:c r="I86" s="15" t="str">
        <x:v>Check station 3 arrival</x:v>
      </x:c>
      <x:c r="J86" s="15" t="str">
        <x:v>每50ms；截止3000ms</x:v>
      </x:c>
      <x:c r="K86" s="15" t="str">
        <x:v>04 02 00 01</x:v>
      </x:c>
      <x:c r="L86" s="15" t="str">
        <x:v>FILL3_POS_TIMEOUT</x:v>
      </x:c>
      <x:c r="M86" s="15" t="str">
        <x:v>candidate:layered/L3_group/step_05_filling_positioning.group.json</x:v>
      </x:c>
    </x:row>
    <x:row r="87" ht="34.5" customHeight="1">
      <x:c r="A87" s="19" t="str">
        <x:v>orange_small</x:v>
      </x:c>
      <x:c r="B87" s="18" t="n">
        <x:v>5</x:v>
      </x:c>
      <x:c r="C87" s="18" t="n">
        <x:v>7</x:v>
      </x:c>
      <x:c r="D87" s="19" t="str">
        <x:v>legacy</x:v>
      </x:c>
      <x:c r="E87" s="19" t="str">
        <x:v>每瓶一次；每配方12次</x:v>
      </x:c>
      <x:c r="F87" s="19" t="str">
        <x:v>BottleSensor</x:v>
      </x:c>
      <x:c r="G87" s="19" t="str"/>
      <x:c r="H87" s="19" t="str">
        <x:v>04 00 45 00 01</x:v>
      </x:c>
      <x:c r="I87" s="19" t="str">
        <x:v>Check station 4 arrival</x:v>
      </x:c>
      <x:c r="J87" s="19" t="str">
        <x:v>每50ms；截止3000ms</x:v>
      </x:c>
      <x:c r="K87" s="19" t="str">
        <x:v>04 02 00 01</x:v>
      </x:c>
      <x:c r="L87" s="19" t="str">
        <x:v>FILL4_POS_TIMEOUT</x:v>
      </x:c>
      <x:c r="M87" s="19" t="str">
        <x:v>candidate:layered/L3_group/step_05_filling_positioning.group.json</x:v>
      </x:c>
    </x:row>
    <x:row r="88" ht="22.5" customHeight="1">
      <x:c r="A88" s="15" t="str">
        <x:v>orange_small</x:v>
      </x:c>
      <x:c r="B88" s="17" t="n">
        <x:v>6</x:v>
      </x:c>
      <x:c r="C88" s="17" t="n">
        <x:v>1</x:v>
      </x:c>
      <x:c r="D88" s="15" t="str">
        <x:v>legacy</x:v>
      </x:c>
      <x:c r="E88" s="15" t="str">
        <x:v>每瓶一次；每配方12次</x:v>
      </x:c>
      <x:c r="F88" s="15" t="str"/>
      <x:c r="G88" s="15" t="str"/>
      <x:c r="H88" s="15" t="str">
        <x:v>stage</x:v>
      </x:c>
      <x:c r="I88" s="15" t="str">
        <x:v>更新UI=06</x:v>
      </x:c>
      <x:c r="J88" s="15" t="str"/>
      <x:c r="K88" s="15" t="str"/>
      <x:c r="L88" s="15" t="str"/>
      <x:c r="M88" s="15" t="str">
        <x:v>candidate:layered/L3_group/step_06_filling.group.json</x:v>
      </x:c>
    </x:row>
    <x:row r="89" ht="22.5" customHeight="1">
      <x:c r="A89" s="19" t="str">
        <x:v>orange_small</x:v>
      </x:c>
      <x:c r="B89" s="18" t="n">
        <x:v>6</x:v>
      </x:c>
      <x:c r="C89" s="18" t="n">
        <x:v>2</x:v>
      </x:c>
      <x:c r="D89" s="19" t="str">
        <x:v>legacy</x:v>
      </x:c>
      <x:c r="E89" s="19" t="str">
        <x:v>每瓶一次；每配方12次</x:v>
      </x:c>
      <x:c r="F89" s="19" t="str">
        <x:v>FlowMeter</x:v>
      </x:c>
      <x:c r="G89" s="19" t="str"/>
      <x:c r="H89" s="19" t="str">
        <x:v>06 00 01 00 00</x:v>
      </x:c>
      <x:c r="I89" s="19" t="str">
        <x:v>Write FlowMeter register 0001</x:v>
      </x:c>
      <x:c r="J89" s="19" t="str"/>
      <x:c r="K89" s="19" t="str">
        <x:v>响应回显=06 00 01 00 00</x:v>
      </x:c>
      <x:c r="L89" s="19" t="str"/>
      <x:c r="M89" s="19" t="str">
        <x:v>candidate:layered/L3_group/step_06_filling.group.json</x:v>
      </x:c>
    </x:row>
    <x:row r="90" ht="22.5" customHeight="1">
      <x:c r="A90" s="15" t="str">
        <x:v>orange_small</x:v>
      </x:c>
      <x:c r="B90" s="17" t="n">
        <x:v>6</x:v>
      </x:c>
      <x:c r="C90" s="17" t="n">
        <x:v>3</x:v>
      </x:c>
      <x:c r="D90" s="15" t="str">
        <x:v>volume</x:v>
      </x:c>
      <x:c r="E90" s="15" t="str">
        <x:v>每瓶一次；每配方12次</x:v>
      </x:c>
      <x:c r="F90" s="15" t="str">
        <x:v>OrangeFill</x:v>
      </x:c>
      <x:c r="G90" s="15" t="str"/>
      <x:c r="H90" s="15" t="str">
        <x:v>FC06 0x0010</x:v>
      </x:c>
      <x:c r="I90" s="15" t="str">
        <x:v>设置容量mL=250</x:v>
      </x:c>
      <x:c r="J90" s="15" t="str"/>
      <x:c r="K90" s="15" t="str">
        <x:v>写入响应回显</x:v>
      </x:c>
      <x:c r="L90" s="15" t="str"/>
      <x:c r="M90" s="15" t="str">
        <x:v>candidate:layered/L3_group/step_06_filling.group.json</x:v>
      </x:c>
    </x:row>
    <x:row r="91" ht="22.5" customHeight="1">
      <x:c r="A91" s="19" t="str">
        <x:v>orange_small</x:v>
      </x:c>
      <x:c r="B91" s="18" t="n">
        <x:v>6</x:v>
      </x:c>
      <x:c r="C91" s="18" t="n">
        <x:v>4</x:v>
      </x:c>
      <x:c r="D91" s="19" t="str">
        <x:v>fill_time</x:v>
      </x:c>
      <x:c r="E91" s="19" t="str">
        <x:v>每瓶一次；每配方12次</x:v>
      </x:c>
      <x:c r="F91" s="19" t="str">
        <x:v>OrangeFill</x:v>
      </x:c>
      <x:c r="G91" s="19" t="str"/>
      <x:c r="H91" s="19" t="str">
        <x:v>FC06 0x0011</x:v>
      </x:c>
      <x:c r="I91" s="19" t="str">
        <x:v>设置灌装ms=1250</x:v>
      </x:c>
      <x:c r="J91" s="19" t="str"/>
      <x:c r="K91" s="19" t="str">
        <x:v>写入响应回显</x:v>
      </x:c>
      <x:c r="L91" s="19" t="str"/>
      <x:c r="M91" s="19" t="str">
        <x:v>candidate:layered/L3_group/step_06_filling.group.json</x:v>
      </x:c>
    </x:row>
    <x:row r="92" ht="22.5" customHeight="1">
      <x:c r="A92" s="15" t="str">
        <x:v>orange_small</x:v>
      </x:c>
      <x:c r="B92" s="17" t="n">
        <x:v>6</x:v>
      </x:c>
      <x:c r="C92" s="17" t="n">
        <x:v>5</x:v>
      </x:c>
      <x:c r="D92" s="15" t="str">
        <x:v>coil</x:v>
      </x:c>
      <x:c r="E92" s="15" t="str">
        <x:v>每瓶一次；每配方12次</x:v>
      </x:c>
      <x:c r="F92" s="15" t="str">
        <x:v>OrangeFill</x:v>
      </x:c>
      <x:c r="G92" s="15" t="str"/>
      <x:c r="H92" s="15" t="str">
        <x:v>FC05 0x0000</x:v>
      </x:c>
      <x:c r="I92" s="15" t="str">
        <x:v>开启</x:v>
      </x:c>
      <x:c r="J92" s="15" t="str"/>
      <x:c r="K92" s="15" t="str">
        <x:v>写入响应回显</x:v>
      </x:c>
      <x:c r="L92" s="15" t="str"/>
      <x:c r="M92" s="15" t="str">
        <x:v>candidate:layered/L3_group/step_06_filling.group.json</x:v>
      </x:c>
    </x:row>
    <x:row r="93" ht="22.5" customHeight="1">
      <x:c r="A93" s="19" t="str">
        <x:v>orange_small</x:v>
      </x:c>
      <x:c r="B93" s="18" t="n">
        <x:v>6</x:v>
      </x:c>
      <x:c r="C93" s="18" t="n">
        <x:v>6</x:v>
      </x:c>
      <x:c r="D93" s="19" t="str">
        <x:v>ready</x:v>
      </x:c>
      <x:c r="E93" s="19" t="str">
        <x:v>每瓶一次；每配方12次</x:v>
      </x:c>
      <x:c r="F93" s="19" t="str">
        <x:v>OrangeFill</x:v>
      </x:c>
      <x:c r="G93" s="19" t="str"/>
      <x:c r="H93" s="19" t="str">
        <x:v>FC04 0x0000</x:v>
      </x:c>
      <x:c r="I93" s="19" t="str">
        <x:v>等待设备完成</x:v>
      </x:c>
      <x:c r="J93" s="19" t="str">
        <x:v>每20ms；截止20000ms</x:v>
      </x:c>
      <x:c r="K93" s="19" t="str">
        <x:v>04 02 00 01</x:v>
      </x:c>
      <x:c r="L93" s="19" t="str">
        <x:v>FILL_TIMEOUT</x:v>
      </x:c>
      <x:c r="M93" s="19" t="str">
        <x:v>candidate:layered/L3_group/step_06_filling.group.json</x:v>
      </x:c>
    </x:row>
    <x:row r="94" ht="34.5" customHeight="1">
      <x:c r="A94" s="15" t="str">
        <x:v>orange_small</x:v>
      </x:c>
      <x:c r="B94" s="17" t="n">
        <x:v>6</x:v>
      </x:c>
      <x:c r="C94" s="17" t="n">
        <x:v>7</x:v>
      </x:c>
      <x:c r="D94" s="15" t="str">
        <x:v>legacy</x:v>
      </x:c>
      <x:c r="E94" s="15" t="str">
        <x:v>每瓶一次；每配方12次</x:v>
      </x:c>
      <x:c r="F94" s="15" t="str">
        <x:v>FlowMeter</x:v>
      </x:c>
      <x:c r="G94" s="15" t="str"/>
      <x:c r="H94" s="15" t="str">
        <x:v>03 00 00 00 02；解码={"valueStartByte":2,"valueLength":4,"valueEndian":"little","valueType":"float"}</x:v>
      </x:c>
      <x:c r="I94" s="15" t="str">
        <x:v>检查流量达到配方容量（旧name仍写500ml；实际compareValue如下）</x:v>
      </x:c>
      <x:c r="J94" s="15" t="str"/>
      <x:c r="K94" s="15" t="str">
        <x:v>greaterOrEqual 250</x:v>
      </x:c>
      <x:c r="L94" s="15" t="str">
        <x:v>FLOW_NOT_REACHED</x:v>
      </x:c>
      <x:c r="M94" s="15" t="str">
        <x:v>candidate:layered/L3_group/step_06_filling.group.json</x:v>
      </x:c>
    </x:row>
    <x:row r="95" ht="22.5" customHeight="1">
      <x:c r="A95" s="19" t="str">
        <x:v>orange_small</x:v>
      </x:c>
      <x:c r="B95" s="18" t="n">
        <x:v>6</x:v>
      </x:c>
      <x:c r="C95" s="18" t="n">
        <x:v>8</x:v>
      </x:c>
      <x:c r="D95" s="19" t="str">
        <x:v>legacy</x:v>
      </x:c>
      <x:c r="E95" s="19" t="str">
        <x:v>每瓶一次；每配方12次</x:v>
      </x:c>
      <x:c r="F95" s="19" t="str">
        <x:v>LevelSensor</x:v>
      </x:c>
      <x:c r="G95" s="19" t="str"/>
      <x:c r="H95" s="19" t="str">
        <x:v>04 00 38 00 01</x:v>
      </x:c>
      <x:c r="I95" s="19" t="str">
        <x:v>Check level sensor</x:v>
      </x:c>
      <x:c r="J95" s="19" t="str">
        <x:v>每50ms；截止8000ms</x:v>
      </x:c>
      <x:c r="K95" s="19" t="str">
        <x:v>04 02 00 01</x:v>
      </x:c>
      <x:c r="L95" s="19" t="str">
        <x:v>LEVEL_TIMEOUT</x:v>
      </x:c>
      <x:c r="M95" s="19" t="str">
        <x:v>candidate:layered/L3_group/step_06_filling.group.json</x:v>
      </x:c>
    </x:row>
    <x:row r="96" ht="22.5" customHeight="1">
      <x:c r="A96" s="15" t="str">
        <x:v>orange_small</x:v>
      </x:c>
      <x:c r="B96" s="17" t="n">
        <x:v>6</x:v>
      </x:c>
      <x:c r="C96" s="17" t="n">
        <x:v>9</x:v>
      </x:c>
      <x:c r="D96" s="15" t="str">
        <x:v>coil</x:v>
      </x:c>
      <x:c r="E96" s="15" t="str">
        <x:v>每瓶一次；每配方12次</x:v>
      </x:c>
      <x:c r="F96" s="15" t="str">
        <x:v>OrangeFill</x:v>
      </x:c>
      <x:c r="G96" s="15" t="str"/>
      <x:c r="H96" s="15" t="str">
        <x:v>FC05 0x0000</x:v>
      </x:c>
      <x:c r="I96" s="15" t="str">
        <x:v>关闭</x:v>
      </x:c>
      <x:c r="J96" s="15" t="str"/>
      <x:c r="K96" s="15" t="str">
        <x:v>写入响应回显</x:v>
      </x:c>
      <x:c r="L96" s="15" t="str"/>
      <x:c r="M96" s="15" t="str">
        <x:v>candidate:layered/L3_group/step_06_filling.group.json</x:v>
      </x:c>
    </x:row>
    <x:row r="97" ht="22.5" customHeight="1">
      <x:c r="A97" s="19" t="str">
        <x:v>orange_small</x:v>
      </x:c>
      <x:c r="B97" s="18" t="n">
        <x:v>6</x:v>
      </x:c>
      <x:c r="C97" s="18" t="n">
        <x:v>10</x:v>
      </x:c>
      <x:c r="D97" s="19" t="str">
        <x:v>repeat_legacy</x:v>
      </x:c>
      <x:c r="E97" s="19" t="str">
        <x:v>每瓶一次；每配方12次</x:v>
      </x:c>
      <x:c r="F97" s="19" t="str">
        <x:v>PressureSensor</x:v>
      </x:c>
      <x:c r="G97" s="19" t="str"/>
      <x:c r="H97" s="19" t="str">
        <x:v>03 00 12 00 02</x:v>
      </x:c>
      <x:c r="I97" s="19" t="str">
        <x:v>连续重复检查4次；无额外等待</x:v>
      </x:c>
      <x:c r="J97" s="19" t="str"/>
      <x:c r="K97" s="19" t="str">
        <x:v>greaterOrEqual 0.1</x:v>
      </x:c>
      <x:c r="L97" s="19" t="str">
        <x:v>FILL_PRESSURE_LOW</x:v>
      </x:c>
      <x:c r="M97" s="19" t="str">
        <x:v>candidate:layered/L3_group/step_06_filling.group.json</x:v>
      </x:c>
    </x:row>
    <x:row r="98" ht="34.5" customHeight="1">
      <x:c r="A98" s="15" t="str">
        <x:v>orange_small</x:v>
      </x:c>
      <x:c r="B98" s="17" t="n">
        <x:v>6</x:v>
      </x:c>
      <x:c r="C98" s="17" t="n">
        <x:v>11</x:v>
      </x:c>
      <x:c r="D98" s="15" t="str">
        <x:v>legacy</x:v>
      </x:c>
      <x:c r="E98" s="15" t="str">
        <x:v>每瓶一次；每配方12次</x:v>
      </x:c>
      <x:c r="F98" s="15" t="str">
        <x:v>FlowMeter</x:v>
      </x:c>
      <x:c r="G98" s="15" t="str"/>
      <x:c r="H98" s="15" t="str">
        <x:v>03 00 00 00 02；解码={"cacheStartByte":2,"cacheLength":4,"cacheEndian":"little","valueType":"float"}</x:v>
      </x:c>
      <x:c r="I98" s="15" t="str">
        <x:v>缓存totalVolume</x:v>
      </x:c>
      <x:c r="J98" s="15" t="str"/>
      <x:c r="K98" s="15" t="str"/>
      <x:c r="L98" s="15" t="str"/>
      <x:c r="M98" s="15" t="str">
        <x:v>candidate:layered/L3_group/step_06_filling.group.json</x:v>
      </x:c>
    </x:row>
    <x:row r="99" ht="22.5" customHeight="1">
      <x:c r="A99" s="19" t="str">
        <x:v>orange_small</x:v>
      </x:c>
      <x:c r="B99" s="18" t="n">
        <x:v>6</x:v>
      </x:c>
      <x:c r="C99" s="18" t="n">
        <x:v>12</x:v>
      </x:c>
      <x:c r="D99" s="19" t="str">
        <x:v>read_volume</x:v>
      </x:c>
      <x:c r="E99" s="19" t="str">
        <x:v>每瓶一次；每配方12次</x:v>
      </x:c>
      <x:c r="F99" s="19" t="str">
        <x:v>OrangeFill</x:v>
      </x:c>
      <x:c r="G99" s="19" t="str"/>
      <x:c r="H99" s="19" t="str">
        <x:v>FC03 0x0012</x:v>
      </x:c>
      <x:c r="I99" s="19" t="str">
        <x:v>读实灌量dispensed_ml并刷新dispensedMl</x:v>
      </x:c>
      <x:c r="J99" s="19" t="str"/>
      <x:c r="K99" s="19" t="str"/>
      <x:c r="L99" s="19" t="str"/>
      <x:c r="M99" s="19" t="str">
        <x:v>candidate:layered/L3_group/step_06_filling.group.json</x:v>
      </x:c>
    </x:row>
    <x:row r="100" ht="22.5" customHeight="1">
      <x:c r="A100" s="15" t="str">
        <x:v>orange_small</x:v>
      </x:c>
      <x:c r="B100" s="17" t="n">
        <x:v>6</x:v>
      </x:c>
      <x:c r="C100" s="17" t="n">
        <x:v>13</x:v>
      </x:c>
      <x:c r="D100" s="15" t="str">
        <x:v>legacy</x:v>
      </x:c>
      <x:c r="E100" s="15" t="str">
        <x:v>每瓶一次；每配方12次</x:v>
      </x:c>
      <x:c r="F100" s="15" t="str"/>
      <x:c r="G100" s="15" t="str"/>
      <x:c r="H100" s="15" t="str">
        <x:v>FillState</x:v>
      </x:c>
      <x:c r="I100" s="15" t="str">
        <x:v>更新UI=done</x:v>
      </x:c>
      <x:c r="J100" s="15" t="str"/>
      <x:c r="K100" s="15" t="str"/>
      <x:c r="L100" s="15" t="str"/>
      <x:c r="M100" s="15" t="str">
        <x:v>candidate:layered/L3_group/step_06_filling.group.json</x:v>
      </x:c>
    </x:row>
    <x:row r="101" ht="34.5" customHeight="1">
      <x:c r="A101" s="19" t="str">
        <x:v>orange_small</x:v>
      </x:c>
      <x:c r="B101" s="18" t="n">
        <x:v>7</x:v>
      </x:c>
      <x:c r="C101" s="18" t="n">
        <x:v>1</x:v>
      </x:c>
      <x:c r="D101" s="19" t="str">
        <x:v>legacy</x:v>
      </x:c>
      <x:c r="E101" s="19" t="str">
        <x:v>每瓶一次；每配方12次</x:v>
      </x:c>
      <x:c r="F101" s="19" t="str"/>
      <x:c r="G101" s="19" t="str"/>
      <x:c r="H101" s="19" t="str">
        <x:v>stage</x:v>
      </x:c>
      <x:c r="I101" s="19" t="str">
        <x:v>更新UI=07</x:v>
      </x:c>
      <x:c r="J101" s="19" t="str"/>
      <x:c r="K101" s="19" t="str"/>
      <x:c r="L101" s="19" t="str"/>
      <x:c r="M101" s="19" t="str">
        <x:v>candidate:layered/L3_group/step_07_level_recheck.group.json</x:v>
      </x:c>
    </x:row>
    <x:row r="102" ht="34.5" customHeight="1">
      <x:c r="A102" s="15" t="str">
        <x:v>orange_small</x:v>
      </x:c>
      <x:c r="B102" s="17" t="n">
        <x:v>7</x:v>
      </x:c>
      <x:c r="C102" s="17" t="n">
        <x:v>2</x:v>
      </x:c>
      <x:c r="D102" s="15" t="str">
        <x:v>legacy</x:v>
      </x:c>
      <x:c r="E102" s="15" t="str">
        <x:v>每瓶一次；每配方12次</x:v>
      </x:c>
      <x:c r="F102" s="15" t="str">
        <x:v>LevelSensor</x:v>
      </x:c>
      <x:c r="G102" s="15" t="str"/>
      <x:c r="H102" s="15" t="str">
        <x:v>04 00 38 00 01</x:v>
      </x:c>
      <x:c r="I102" s="15" t="str">
        <x:v>Check level 1</x:v>
      </x:c>
      <x:c r="J102" s="15" t="str">
        <x:v>每50ms；截止3000ms</x:v>
      </x:c>
      <x:c r="K102" s="15" t="str">
        <x:v>04 02 00 01</x:v>
      </x:c>
      <x:c r="L102" s="15" t="str">
        <x:v>RECHECK1_FAIL</x:v>
      </x:c>
      <x:c r="M102" s="15" t="str">
        <x:v>candidate:layered/L3_group/step_07_level_recheck.group.json</x:v>
      </x:c>
    </x:row>
    <x:row r="103" ht="34.5" customHeight="1">
      <x:c r="A103" s="19" t="str">
        <x:v>orange_small</x:v>
      </x:c>
      <x:c r="B103" s="18" t="n">
        <x:v>7</x:v>
      </x:c>
      <x:c r="C103" s="18" t="n">
        <x:v>3</x:v>
      </x:c>
      <x:c r="D103" s="19" t="str">
        <x:v>legacy</x:v>
      </x:c>
      <x:c r="E103" s="19" t="str">
        <x:v>每瓶一次；每配方12次</x:v>
      </x:c>
      <x:c r="F103" s="19" t="str">
        <x:v>LevelSensor</x:v>
      </x:c>
      <x:c r="G103" s="19" t="str"/>
      <x:c r="H103" s="19" t="str">
        <x:v>04 00 39 00 01</x:v>
      </x:c>
      <x:c r="I103" s="19" t="str">
        <x:v>Check level 2</x:v>
      </x:c>
      <x:c r="J103" s="19" t="str">
        <x:v>每50ms；截止3000ms</x:v>
      </x:c>
      <x:c r="K103" s="19" t="str">
        <x:v>04 02 00 01</x:v>
      </x:c>
      <x:c r="L103" s="19" t="str">
        <x:v>RECHECK2_FAIL</x:v>
      </x:c>
      <x:c r="M103" s="19" t="str">
        <x:v>candidate:layered/L3_group/step_07_level_recheck.group.json</x:v>
      </x:c>
    </x:row>
    <x:row r="104" ht="34.5" customHeight="1">
      <x:c r="A104" s="15" t="str">
        <x:v>orange_small</x:v>
      </x:c>
      <x:c r="B104" s="17" t="n">
        <x:v>7</x:v>
      </x:c>
      <x:c r="C104" s="17" t="n">
        <x:v>4</x:v>
      </x:c>
      <x:c r="D104" s="15" t="str">
        <x:v>legacy</x:v>
      </x:c>
      <x:c r="E104" s="15" t="str">
        <x:v>每瓶一次；每配方12次</x:v>
      </x:c>
      <x:c r="F104" s="15" t="str">
        <x:v>LevelSensor</x:v>
      </x:c>
      <x:c r="G104" s="15" t="str"/>
      <x:c r="H104" s="15" t="str">
        <x:v>04 00 3A 00 01</x:v>
      </x:c>
      <x:c r="I104" s="15" t="str">
        <x:v>Check level 3</x:v>
      </x:c>
      <x:c r="J104" s="15" t="str">
        <x:v>每50ms；截止3000ms</x:v>
      </x:c>
      <x:c r="K104" s="15" t="str">
        <x:v>04 02 00 01</x:v>
      </x:c>
      <x:c r="L104" s="15" t="str">
        <x:v>RECHECK3_FAIL</x:v>
      </x:c>
      <x:c r="M104" s="15" t="str">
        <x:v>candidate:layered/L3_group/step_07_level_recheck.group.json</x:v>
      </x:c>
    </x:row>
    <x:row r="105" ht="34.5" customHeight="1">
      <x:c r="A105" s="19" t="str">
        <x:v>orange_small</x:v>
      </x:c>
      <x:c r="B105" s="18" t="n">
        <x:v>7</x:v>
      </x:c>
      <x:c r="C105" s="18" t="n">
        <x:v>5</x:v>
      </x:c>
      <x:c r="D105" s="19" t="str">
        <x:v>legacy</x:v>
      </x:c>
      <x:c r="E105" s="19" t="str">
        <x:v>每瓶一次；每配方12次</x:v>
      </x:c>
      <x:c r="F105" s="19" t="str">
        <x:v>LevelSensor</x:v>
      </x:c>
      <x:c r="G105" s="19" t="str"/>
      <x:c r="H105" s="19" t="str">
        <x:v>04 00 3B 00 01</x:v>
      </x:c>
      <x:c r="I105" s="19" t="str">
        <x:v>Check level 4</x:v>
      </x:c>
      <x:c r="J105" s="19" t="str">
        <x:v>每50ms；截止3000ms</x:v>
      </x:c>
      <x:c r="K105" s="19" t="str">
        <x:v>04 02 00 01</x:v>
      </x:c>
      <x:c r="L105" s="19" t="str">
        <x:v>RECHECK4_FAIL</x:v>
      </x:c>
      <x:c r="M105" s="19" t="str">
        <x:v>candidate:layered/L3_group/step_07_level_recheck.group.json</x:v>
      </x:c>
    </x:row>
    <x:row r="106" ht="34.5" customHeight="1">
      <x:c r="A106" s="15" t="str">
        <x:v>orange_small</x:v>
      </x:c>
      <x:c r="B106" s="17" t="n">
        <x:v>7</x:v>
      </x:c>
      <x:c r="C106" s="17" t="n">
        <x:v>6</x:v>
      </x:c>
      <x:c r="D106" s="15" t="str">
        <x:v>legacy</x:v>
      </x:c>
      <x:c r="E106" s="15" t="str">
        <x:v>每瓶一次；每配方12次</x:v>
      </x:c>
      <x:c r="F106" s="15" t="str">
        <x:v>LevelSensor</x:v>
      </x:c>
      <x:c r="G106" s="15" t="str"/>
      <x:c r="H106" s="15" t="str">
        <x:v>04 00 38 00 01；解码={"cacheStartByte":2,"cacheLength":2,"cacheEndian":"big","valueType":"uint16"}</x:v>
      </x:c>
      <x:c r="I106" s="15" t="str">
        <x:v>缓存lv1</x:v>
      </x:c>
      <x:c r="J106" s="15" t="str"/>
      <x:c r="K106" s="15" t="str"/>
      <x:c r="L106" s="15" t="str"/>
      <x:c r="M106" s="15" t="str">
        <x:v>candidate:layered/L3_group/step_07_level_recheck.group.json</x:v>
      </x:c>
    </x:row>
    <x:row r="107" ht="34.5" customHeight="1">
      <x:c r="A107" s="19" t="str">
        <x:v>orange_small</x:v>
      </x:c>
      <x:c r="B107" s="18" t="n">
        <x:v>7</x:v>
      </x:c>
      <x:c r="C107" s="18" t="n">
        <x:v>7</x:v>
      </x:c>
      <x:c r="D107" s="19" t="str">
        <x:v>legacy</x:v>
      </x:c>
      <x:c r="E107" s="19" t="str">
        <x:v>每瓶一次；每配方12次</x:v>
      </x:c>
      <x:c r="F107" s="19" t="str">
        <x:v>LevelSensor</x:v>
      </x:c>
      <x:c r="G107" s="19" t="str"/>
      <x:c r="H107" s="19" t="str">
        <x:v>04 00 39 00 01；解码={"cacheStartByte":2,"cacheLength":2,"cacheEndian":"big","valueType":"uint16"}</x:v>
      </x:c>
      <x:c r="I107" s="19" t="str">
        <x:v>缓存lv2</x:v>
      </x:c>
      <x:c r="J107" s="19" t="str"/>
      <x:c r="K107" s="19" t="str"/>
      <x:c r="L107" s="19" t="str"/>
      <x:c r="M107" s="19" t="str">
        <x:v>candidate:layered/L3_group/step_07_level_recheck.group.json</x:v>
      </x:c>
    </x:row>
    <x:row r="108" ht="34.5" customHeight="1">
      <x:c r="A108" s="15" t="str">
        <x:v>orange_small</x:v>
      </x:c>
      <x:c r="B108" s="17" t="n">
        <x:v>7</x:v>
      </x:c>
      <x:c r="C108" s="17" t="n">
        <x:v>8</x:v>
      </x:c>
      <x:c r="D108" s="15" t="str">
        <x:v>legacy</x:v>
      </x:c>
      <x:c r="E108" s="15" t="str">
        <x:v>每瓶一次；每配方12次</x:v>
      </x:c>
      <x:c r="F108" s="15" t="str">
        <x:v>LevelSensor</x:v>
      </x:c>
      <x:c r="G108" s="15" t="str"/>
      <x:c r="H108" s="15" t="str">
        <x:v>04 00 3A 00 01；解码={"cacheStartByte":2,"cacheLength":2,"cacheEndian":"big","valueType":"uint16"}</x:v>
      </x:c>
      <x:c r="I108" s="15" t="str">
        <x:v>缓存lv3</x:v>
      </x:c>
      <x:c r="J108" s="15" t="str"/>
      <x:c r="K108" s="15" t="str"/>
      <x:c r="L108" s="15" t="str"/>
      <x:c r="M108" s="15" t="str">
        <x:v>candidate:layered/L3_group/step_07_level_recheck.group.json</x:v>
      </x:c>
    </x:row>
    <x:row r="109" ht="34.5" customHeight="1">
      <x:c r="A109" s="19" t="str">
        <x:v>orange_small</x:v>
      </x:c>
      <x:c r="B109" s="18" t="n">
        <x:v>7</x:v>
      </x:c>
      <x:c r="C109" s="18" t="n">
        <x:v>9</x:v>
      </x:c>
      <x:c r="D109" s="19" t="str">
        <x:v>legacy</x:v>
      </x:c>
      <x:c r="E109" s="19" t="str">
        <x:v>每瓶一次；每配方12次</x:v>
      </x:c>
      <x:c r="F109" s="19" t="str">
        <x:v>LevelSensor</x:v>
      </x:c>
      <x:c r="G109" s="19" t="str"/>
      <x:c r="H109" s="19" t="str">
        <x:v>04 00 3B 00 01；解码={"cacheStartByte":2,"cacheLength":2,"cacheEndian":"big","valueType":"uint16"}</x:v>
      </x:c>
      <x:c r="I109" s="19" t="str">
        <x:v>缓存lv4</x:v>
      </x:c>
      <x:c r="J109" s="19" t="str"/>
      <x:c r="K109" s="19" t="str"/>
      <x:c r="L109" s="19" t="str"/>
      <x:c r="M109" s="19" t="str">
        <x:v>candidate:layered/L3_group/step_07_level_recheck.group.json</x:v>
      </x:c>
    </x:row>
    <x:row r="110" ht="34.5" customHeight="1">
      <x:c r="A110" s="15" t="str">
        <x:v>orange_small</x:v>
      </x:c>
      <x:c r="B110" s="17" t="n">
        <x:v>7</x:v>
      </x:c>
      <x:c r="C110" s="17" t="n">
        <x:v>10</x:v>
      </x:c>
      <x:c r="D110" s="15" t="str">
        <x:v>legacy</x:v>
      </x:c>
      <x:c r="E110" s="15" t="str">
        <x:v>每瓶一次；每配方12次</x:v>
      </x:c>
      <x:c r="F110" s="15" t="str"/>
      <x:c r="G110" s="15" t="str"/>
      <x:c r="H110" s="15" t="str">
        <x:v>CheckState</x:v>
      </x:c>
      <x:c r="I110" s="15" t="str">
        <x:v>更新UI=qualified</x:v>
      </x:c>
      <x:c r="J110" s="15" t="str"/>
      <x:c r="K110" s="15" t="str"/>
      <x:c r="L110" s="15" t="str"/>
      <x:c r="M110" s="15" t="str">
        <x:v>candidate:layered/L3_group/step_07_level_recheck.group.json</x:v>
      </x:c>
    </x:row>
    <x:row r="111" ht="22.5" customHeight="1">
      <x:c r="A111" s="19" t="str">
        <x:v>orange_small</x:v>
      </x:c>
      <x:c r="B111" s="18" t="n">
        <x:v>8</x:v>
      </x:c>
      <x:c r="C111" s="18" t="n">
        <x:v>1</x:v>
      </x:c>
      <x:c r="D111" s="19" t="str">
        <x:v>legacy</x:v>
      </x:c>
      <x:c r="E111" s="19" t="str">
        <x:v>每瓶一次；每配方12次</x:v>
      </x:c>
      <x:c r="F111" s="19" t="str"/>
      <x:c r="G111" s="19" t="str"/>
      <x:c r="H111" s="19" t="str">
        <x:v>stage</x:v>
      </x:c>
      <x:c r="I111" s="19" t="str">
        <x:v>更新UI=08</x:v>
      </x:c>
      <x:c r="J111" s="19" t="str"/>
      <x:c r="K111" s="19" t="str"/>
      <x:c r="L111" s="19" t="str"/>
      <x:c r="M111" s="19" t="str">
        <x:v>candidate:layered/L3_group/step_08_capping.group.json</x:v>
      </x:c>
    </x:row>
    <x:row r="112" ht="22.5" customHeight="1">
      <x:c r="A112" s="15" t="str">
        <x:v>orange_small</x:v>
      </x:c>
      <x:c r="B112" s="17" t="n">
        <x:v>8</x:v>
      </x:c>
      <x:c r="C112" s="17" t="n">
        <x:v>2</x:v>
      </x:c>
      <x:c r="D112" s="15" t="str">
        <x:v>move</x:v>
      </x:c>
      <x:c r="E112" s="15" t="str">
        <x:v>每瓶一次；每配方12次</x:v>
      </x:c>
      <x:c r="F112" s="15" t="str">
        <x:v>X / Y1 / Y2 / Z</x:v>
      </x:c>
      <x:c r="G112" s="15" t="n">
        <x:v>37</x:v>
      </x:c>
      <x:c r="H112" s="15" t="str">
        <x:v>fill_entry</x:v>
      </x:c>
      <x:c r="I112" s="15" t="str">
        <x:v>移动至 orange small fill entry；PR=(4,12,12,1)；仅变化轴触发</x:v>
      </x:c>
      <x:c r="J112" s="15" t="str">
        <x:v>四电机各20ms轮询/4000ms截止</x:v>
      </x:c>
      <x:c r="K112" s="15" t="str">
        <x:v>全部就绪；缓存四位置；UI使用X/Y1/Z</x:v>
      </x:c>
      <x:c r="L112" s="15" t="str">
        <x:v>MOTION_TIMEOUT</x:v>
      </x:c>
      <x:c r="M112" s="15" t="str">
        <x:v>candidate:layered/L3_group/step_08_capping.group.json</x:v>
      </x:c>
    </x:row>
    <x:row r="113" ht="22.5" customHeight="1">
      <x:c r="A113" s="19" t="str">
        <x:v>orange_small</x:v>
      </x:c>
      <x:c r="B113" s="18" t="n">
        <x:v>8</x:v>
      </x:c>
      <x:c r="C113" s="18" t="n">
        <x:v>3</x:v>
      </x:c>
      <x:c r="D113" s="19" t="str">
        <x:v>move</x:v>
      </x:c>
      <x:c r="E113" s="19" t="str">
        <x:v>每瓶一次；每配方12次</x:v>
      </x:c>
      <x:c r="F113" s="19" t="str">
        <x:v>X / Y1 / Y2 / Z</x:v>
      </x:c>
      <x:c r="G113" s="19" t="n">
        <x:v>39</x:v>
      </x:c>
      <x:c r="H113" s="19" t="str">
        <x:v>closure_entry</x:v>
      </x:c>
      <x:c r="I113" s="19" t="str">
        <x:v>移动至 small closure entry；PR=(9,6,6,1)；仅变化轴触发</x:v>
      </x:c>
      <x:c r="J113" s="19" t="str">
        <x:v>四电机各20ms轮询/4000ms截止</x:v>
      </x:c>
      <x:c r="K113" s="19" t="str">
        <x:v>全部就绪；缓存四位置；UI使用X/Y1/Z</x:v>
      </x:c>
      <x:c r="L113" s="19" t="str">
        <x:v>MOTION_TIMEOUT</x:v>
      </x:c>
      <x:c r="M113" s="19" t="str">
        <x:v>candidate:layered/L3_group/step_08_capping.group.json</x:v>
      </x:c>
    </x:row>
    <x:row r="114" ht="22.5" customHeight="1">
      <x:c r="A114" s="15" t="str">
        <x:v>orange_small</x:v>
      </x:c>
      <x:c r="B114" s="17" t="n">
        <x:v>8</x:v>
      </x:c>
      <x:c r="C114" s="17" t="n">
        <x:v>4</x:v>
      </x:c>
      <x:c r="D114" s="15" t="str">
        <x:v>move</x:v>
      </x:c>
      <x:c r="E114" s="15" t="str">
        <x:v>每瓶一次；每配方12次</x:v>
      </x:c>
      <x:c r="F114" s="15" t="str">
        <x:v>X / Y1 / Y2 / Z</x:v>
      </x:c>
      <x:c r="G114" s="15" t="n">
        <x:v>40</x:v>
      </x:c>
      <x:c r="H114" s="15" t="str">
        <x:v>closure_work</x:v>
      </x:c>
      <x:c r="I114" s="15" t="str">
        <x:v>移动至 small closure work；PR=(9,6,6,4)；仅变化轴触发</x:v>
      </x:c>
      <x:c r="J114" s="15" t="str">
        <x:v>四电机各20ms轮询/4000ms截止</x:v>
      </x:c>
      <x:c r="K114" s="15" t="str">
        <x:v>全部就绪；缓存四位置；UI使用X/Y1/Z</x:v>
      </x:c>
      <x:c r="L114" s="15" t="str">
        <x:v>MOTION_TIMEOUT</x:v>
      </x:c>
      <x:c r="M114" s="15" t="str">
        <x:v>candidate:layered/L3_group/step_08_capping.group.json</x:v>
      </x:c>
    </x:row>
    <x:row r="115" ht="22.5" customHeight="1">
      <x:c r="A115" s="19" t="str">
        <x:v>orange_small</x:v>
      </x:c>
      <x:c r="B115" s="18" t="n">
        <x:v>8</x:v>
      </x:c>
      <x:c r="C115" s="18" t="n">
        <x:v>5</x:v>
      </x:c>
      <x:c r="D115" s="19" t="str">
        <x:v>coil</x:v>
      </x:c>
      <x:c r="E115" s="19" t="str">
        <x:v>每瓶一次；每配方12次</x:v>
      </x:c>
      <x:c r="F115" s="19" t="str">
        <x:v>CapFeeder</x:v>
      </x:c>
      <x:c r="G115" s="19" t="str"/>
      <x:c r="H115" s="19" t="str">
        <x:v>FC05 0x0000</x:v>
      </x:c>
      <x:c r="I115" s="19" t="str">
        <x:v>开启</x:v>
      </x:c>
      <x:c r="J115" s="19" t="str"/>
      <x:c r="K115" s="19" t="str">
        <x:v>写入响应回显</x:v>
      </x:c>
      <x:c r="L115" s="19" t="str"/>
      <x:c r="M115" s="19" t="str">
        <x:v>candidate:layered/L3_group/step_08_capping.group.json</x:v>
      </x:c>
    </x:row>
    <x:row r="116" ht="22.5" customHeight="1">
      <x:c r="A116" s="15" t="str">
        <x:v>orange_small</x:v>
      </x:c>
      <x:c r="B116" s="17" t="n">
        <x:v>8</x:v>
      </x:c>
      <x:c r="C116" s="17" t="n">
        <x:v>6</x:v>
      </x:c>
      <x:c r="D116" s="15" t="str">
        <x:v>trigger</x:v>
      </x:c>
      <x:c r="E116" s="15" t="str">
        <x:v>每瓶一次；每配方12次</x:v>
      </x:c>
      <x:c r="F116" s="15" t="str">
        <x:v>Closure</x:v>
      </x:c>
      <x:c r="G116" s="15" t="str"/>
      <x:c r="H116" s="15" t="str">
        <x:v>FC06 0x6002=19</x:v>
      </x:c>
      <x:c r="I116" s="15" t="str">
        <x:v>触发预设PR3</x:v>
      </x:c>
      <x:c r="J116" s="15" t="str"/>
      <x:c r="K116" s="15" t="str">
        <x:v>写入响应回显</x:v>
      </x:c>
      <x:c r="L116" s="15" t="str"/>
      <x:c r="M116" s="15" t="str">
        <x:v>candidate:layered/L3_group/step_08_capping.group.json</x:v>
      </x:c>
    </x:row>
    <x:row r="117" ht="22.5" customHeight="1">
      <x:c r="A117" s="19" t="str">
        <x:v>orange_small</x:v>
      </x:c>
      <x:c r="B117" s="18" t="n">
        <x:v>8</x:v>
      </x:c>
      <x:c r="C117" s="18" t="n">
        <x:v>7</x:v>
      </x:c>
      <x:c r="D117" s="19" t="str">
        <x:v>ready</x:v>
      </x:c>
      <x:c r="E117" s="19" t="str">
        <x:v>每瓶一次；每配方12次</x:v>
      </x:c>
      <x:c r="F117" s="19" t="str">
        <x:v>Closure</x:v>
      </x:c>
      <x:c r="G117" s="19" t="str"/>
      <x:c r="H117" s="19" t="str">
        <x:v>FC04 0x0000</x:v>
      </x:c>
      <x:c r="I117" s="19" t="str">
        <x:v>等待设备完成</x:v>
      </x:c>
      <x:c r="J117" s="19" t="str">
        <x:v>每20ms；截止5000ms</x:v>
      </x:c>
      <x:c r="K117" s="19" t="str">
        <x:v>04 02 00 01</x:v>
      </x:c>
      <x:c r="L117" s="19" t="str">
        <x:v>CLOSURE_TIMEOUT</x:v>
      </x:c>
      <x:c r="M117" s="19" t="str">
        <x:v>candidate:layered/L3_group/step_08_capping.group.json</x:v>
      </x:c>
    </x:row>
    <x:row r="118" ht="22.5" customHeight="1">
      <x:c r="A118" s="15" t="str">
        <x:v>orange_small</x:v>
      </x:c>
      <x:c r="B118" s="17" t="n">
        <x:v>8</x:v>
      </x:c>
      <x:c r="C118" s="17" t="n">
        <x:v>8</x:v>
      </x:c>
      <x:c r="D118" s="15" t="str">
        <x:v>legacy</x:v>
      </x:c>
      <x:c r="E118" s="15" t="str">
        <x:v>每瓶一次；每配方12次</x:v>
      </x:c>
      <x:c r="F118" s="15" t="str">
        <x:v>Relay</x:v>
      </x:c>
      <x:c r="G118" s="15" t="str"/>
      <x:c r="H118" s="15" t="str">
        <x:v>05 00 0B FF 00</x:v>
      </x:c>
      <x:c r="I118" s="15" t="str">
        <x:v>Capping machine start</x:v>
      </x:c>
      <x:c r="J118" s="15" t="str"/>
      <x:c r="K118" s="15" t="str">
        <x:v>响应回显=05 00 0B FF 00</x:v>
      </x:c>
      <x:c r="L118" s="15" t="str"/>
      <x:c r="M118" s="15" t="str">
        <x:v>candidate:layered/L3_group/step_08_capping.group.json</x:v>
      </x:c>
    </x:row>
    <x:row r="119" ht="22.5" customHeight="1">
      <x:c r="A119" s="19" t="str">
        <x:v>orange_small</x:v>
      </x:c>
      <x:c r="B119" s="18" t="n">
        <x:v>8</x:v>
      </x:c>
      <x:c r="C119" s="18" t="n">
        <x:v>9</x:v>
      </x:c>
      <x:c r="D119" s="19" t="str">
        <x:v>legacy</x:v>
      </x:c>
      <x:c r="E119" s="19" t="str">
        <x:v>每瓶一次；每配方12次</x:v>
      </x:c>
      <x:c r="F119" s="19" t="str"/>
      <x:c r="G119" s="19" t="str"/>
      <x:c r="H119" s="19" t="str"/>
      <x:c r="I119" s="19" t="str">
        <x:v>显式等待(ms)</x:v>
      </x:c>
      <x:c r="J119" s="19" t="n">
        <x:v>3000</x:v>
      </x:c>
      <x:c r="K119" s="19" t="str"/>
      <x:c r="L119" s="19" t="str"/>
      <x:c r="M119" s="19" t="str">
        <x:v>candidate:layered/L3_group/step_08_capping.group.json</x:v>
      </x:c>
    </x:row>
    <x:row r="120" ht="34.5" customHeight="1">
      <x:c r="A120" s="15" t="str">
        <x:v>orange_small</x:v>
      </x:c>
      <x:c r="B120" s="17" t="n">
        <x:v>8</x:v>
      </x:c>
      <x:c r="C120" s="17" t="n">
        <x:v>10</x:v>
      </x:c>
      <x:c r="D120" s="15" t="str">
        <x:v>legacy</x:v>
      </x:c>
      <x:c r="E120" s="15" t="str">
        <x:v>每瓶一次；每配方12次</x:v>
      </x:c>
      <x:c r="F120" s="15" t="str">
        <x:v>Torque</x:v>
      </x:c>
      <x:c r="G120" s="15" t="str"/>
      <x:c r="H120" s="15" t="str">
        <x:v>03 00 30 00 02；解码={"valueStartByte":2,"valueLength":4,"valueEndian":"little","valueType":"float"}</x:v>
      </x:c>
      <x:c r="I120" s="15" t="str">
        <x:v>check Cappingtorque&gt;=2.0N·m</x:v>
      </x:c>
      <x:c r="J120" s="15" t="str"/>
      <x:c r="K120" s="15" t="str">
        <x:v>greaterOrEqual 2.0</x:v>
      </x:c>
      <x:c r="L120" s="15" t="str">
        <x:v>TORQUE_LOW</x:v>
      </x:c>
      <x:c r="M120" s="15" t="str">
        <x:v>candidate:layered/L3_group/step_08_capping.group.json</x:v>
      </x:c>
    </x:row>
    <x:row r="121" ht="22.5" customHeight="1">
      <x:c r="A121" s="19" t="str">
        <x:v>orange_small</x:v>
      </x:c>
      <x:c r="B121" s="18" t="n">
        <x:v>8</x:v>
      </x:c>
      <x:c r="C121" s="18" t="n">
        <x:v>11</x:v>
      </x:c>
      <x:c r="D121" s="19" t="str">
        <x:v>legacy</x:v>
      </x:c>
      <x:c r="E121" s="19" t="str">
        <x:v>每瓶一次；每配方12次</x:v>
      </x:c>
      <x:c r="F121" s="19" t="str">
        <x:v>Relay</x:v>
      </x:c>
      <x:c r="G121" s="19" t="str"/>
      <x:c r="H121" s="19" t="str">
        <x:v>05 00 0B 00 00</x:v>
      </x:c>
      <x:c r="I121" s="19" t="str">
        <x:v>Capping machine stop</x:v>
      </x:c>
      <x:c r="J121" s="19" t="str"/>
      <x:c r="K121" s="19" t="str">
        <x:v>响应回显=05 00 0B 00 00</x:v>
      </x:c>
      <x:c r="L121" s="19" t="str"/>
      <x:c r="M121" s="19" t="str">
        <x:v>candidate:layered/L3_group/step_08_capping.group.json</x:v>
      </x:c>
    </x:row>
    <x:row r="122" ht="22.5" customHeight="1">
      <x:c r="A122" s="15" t="str">
        <x:v>orange_small</x:v>
      </x:c>
      <x:c r="B122" s="17" t="n">
        <x:v>8</x:v>
      </x:c>
      <x:c r="C122" s="17" t="n">
        <x:v>12</x:v>
      </x:c>
      <x:c r="D122" s="15" t="str">
        <x:v>legacy</x:v>
      </x:c>
      <x:c r="E122" s="15" t="str">
        <x:v>每瓶一次；每配方12次</x:v>
      </x:c>
      <x:c r="F122" s="15" t="str">
        <x:v>BottleSensor</x:v>
      </x:c>
      <x:c r="G122" s="15" t="str"/>
      <x:c r="H122" s="15" t="str">
        <x:v>04 00 46 00 01</x:v>
      </x:c>
      <x:c r="I122" s="15" t="str">
        <x:v>check Cap checksensor</x:v>
      </x:c>
      <x:c r="J122" s="15" t="str">
        <x:v>每50ms；截止3000ms</x:v>
      </x:c>
      <x:c r="K122" s="15" t="str">
        <x:v>04 02 00 01</x:v>
      </x:c>
      <x:c r="L122" s="15" t="str">
        <x:v>CAP_TIMEOUT</x:v>
      </x:c>
      <x:c r="M122" s="15" t="str">
        <x:v>candidate:layered/L3_group/step_08_capping.group.json</x:v>
      </x:c>
    </x:row>
    <x:row r="123" ht="34.5" customHeight="1">
      <x:c r="A123" s="19" t="str">
        <x:v>orange_small</x:v>
      </x:c>
      <x:c r="B123" s="18" t="n">
        <x:v>8</x:v>
      </x:c>
      <x:c r="C123" s="18" t="n">
        <x:v>13</x:v>
      </x:c>
      <x:c r="D123" s="19" t="str">
        <x:v>legacy</x:v>
      </x:c>
      <x:c r="E123" s="19" t="str">
        <x:v>每瓶一次；每配方12次</x:v>
      </x:c>
      <x:c r="F123" s="19" t="str">
        <x:v>Torque</x:v>
      </x:c>
      <x:c r="G123" s="19" t="str"/>
      <x:c r="H123" s="19" t="str">
        <x:v>03 00 30 00 02；解码={"cacheStartByte":2,"cacheLength":4,"cacheEndian":"little","valueType":"float"}</x:v>
      </x:c>
      <x:c r="I123" s="19" t="str">
        <x:v>缓存torqueValue</x:v>
      </x:c>
      <x:c r="J123" s="19" t="str"/>
      <x:c r="K123" s="19" t="str"/>
      <x:c r="L123" s="19" t="str"/>
      <x:c r="M123" s="19" t="str">
        <x:v>candidate:layered/L3_group/step_08_capping.group.json</x:v>
      </x:c>
    </x:row>
    <x:row r="124" ht="22.5" customHeight="1">
      <x:c r="A124" s="15" t="str">
        <x:v>orange_small</x:v>
      </x:c>
      <x:c r="B124" s="17" t="n">
        <x:v>8</x:v>
      </x:c>
      <x:c r="C124" s="17" t="n">
        <x:v>14</x:v>
      </x:c>
      <x:c r="D124" s="15" t="str">
        <x:v>legacy</x:v>
      </x:c>
      <x:c r="E124" s="15" t="str">
        <x:v>每瓶一次；每配方12次</x:v>
      </x:c>
      <x:c r="F124" s="15" t="str"/>
      <x:c r="G124" s="15" t="str"/>
      <x:c r="H124" s="15" t="str">
        <x:v>CapState</x:v>
      </x:c>
      <x:c r="I124" s="15" t="str">
        <x:v>更新UI=done</x:v>
      </x:c>
      <x:c r="J124" s="15" t="str"/>
      <x:c r="K124" s="15" t="str"/>
      <x:c r="L124" s="15" t="str"/>
      <x:c r="M124" s="15" t="str">
        <x:v>candidate:layered/L3_group/step_08_capping.group.json</x:v>
      </x:c>
    </x:row>
    <x:row r="125" ht="22.5" customHeight="1">
      <x:c r="A125" s="19" t="str">
        <x:v>orange_small</x:v>
      </x:c>
      <x:c r="B125" s="18" t="n">
        <x:v>8</x:v>
      </x:c>
      <x:c r="C125" s="18" t="n">
        <x:v>15</x:v>
      </x:c>
      <x:c r="D125" s="19" t="str">
        <x:v>coil</x:v>
      </x:c>
      <x:c r="E125" s="19" t="str">
        <x:v>每瓶一次；每配方12次</x:v>
      </x:c>
      <x:c r="F125" s="19" t="str">
        <x:v>CapFeeder</x:v>
      </x:c>
      <x:c r="G125" s="19" t="str"/>
      <x:c r="H125" s="19" t="str">
        <x:v>FC05 0x0000</x:v>
      </x:c>
      <x:c r="I125" s="19" t="str">
        <x:v>关闭</x:v>
      </x:c>
      <x:c r="J125" s="19" t="str"/>
      <x:c r="K125" s="19" t="str">
        <x:v>写入响应回显</x:v>
      </x:c>
      <x:c r="L125" s="19" t="str"/>
      <x:c r="M125" s="19" t="str">
        <x:v>candidate:layered/L3_group/step_08_capping.group.json</x:v>
      </x:c>
    </x:row>
    <x:row r="126" ht="22.5" customHeight="1">
      <x:c r="A126" s="15" t="str">
        <x:v>orange_small</x:v>
      </x:c>
      <x:c r="B126" s="17" t="n">
        <x:v>8</x:v>
      </x:c>
      <x:c r="C126" s="17" t="n">
        <x:v>16</x:v>
      </x:c>
      <x:c r="D126" s="15" t="str">
        <x:v>move</x:v>
      </x:c>
      <x:c r="E126" s="15" t="str">
        <x:v>每瓶一次；每配方12次</x:v>
      </x:c>
      <x:c r="F126" s="15" t="str">
        <x:v>X / Y1 / Y2 / Z</x:v>
      </x:c>
      <x:c r="G126" s="15" t="n">
        <x:v>39</x:v>
      </x:c>
      <x:c r="H126" s="15" t="str">
        <x:v>closure_entry</x:v>
      </x:c>
      <x:c r="I126" s="15" t="str">
        <x:v>移动至 small closure entry；PR=(9,6,6,1)；仅变化轴触发</x:v>
      </x:c>
      <x:c r="J126" s="15" t="str">
        <x:v>四电机各20ms轮询/4000ms截止</x:v>
      </x:c>
      <x:c r="K126" s="15" t="str">
        <x:v>全部就绪；缓存四位置；UI使用X/Y1/Z</x:v>
      </x:c>
      <x:c r="L126" s="15" t="str">
        <x:v>MOTION_TIMEOUT</x:v>
      </x:c>
      <x:c r="M126" s="15" t="str">
        <x:v>candidate:layered/L3_group/step_08_capping.group.json</x:v>
      </x:c>
    </x:row>
    <x:row r="127" ht="34.5" customHeight="1">
      <x:c r="A127" s="19" t="str">
        <x:v>orange_small</x:v>
      </x:c>
      <x:c r="B127" s="18" t="n">
        <x:v>9</x:v>
      </x:c>
      <x:c r="C127" s="18" t="n">
        <x:v>1</x:v>
      </x:c>
      <x:c r="D127" s="19" t="str">
        <x:v>legacy</x:v>
      </x:c>
      <x:c r="E127" s="19" t="str">
        <x:v>每瓶一次；每配方12次</x:v>
      </x:c>
      <x:c r="F127" s="19" t="str"/>
      <x:c r="G127" s="19" t="str"/>
      <x:c r="H127" s="19" t="str">
        <x:v>stage</x:v>
      </x:c>
      <x:c r="I127" s="19" t="str">
        <x:v>更新UI=09</x:v>
      </x:c>
      <x:c r="J127" s="19" t="str"/>
      <x:c r="K127" s="19" t="str"/>
      <x:c r="L127" s="19" t="str"/>
      <x:c r="M127" s="19" t="str">
        <x:v>candidate:layered/L3_group/step_09_coding_labeling.group.json</x:v>
      </x:c>
    </x:row>
    <x:row r="128" ht="34.5" customHeight="1">
      <x:c r="A128" s="15" t="str">
        <x:v>orange_small</x:v>
      </x:c>
      <x:c r="B128" s="17" t="n">
        <x:v>9</x:v>
      </x:c>
      <x:c r="C128" s="17" t="n">
        <x:v>2</x:v>
      </x:c>
      <x:c r="D128" s="15" t="str">
        <x:v>move</x:v>
      </x:c>
      <x:c r="E128" s="15" t="str">
        <x:v>每瓶一次；每配方12次</x:v>
      </x:c>
      <x:c r="F128" s="15" t="str">
        <x:v>X / Y1 / Y2 / Z</x:v>
      </x:c>
      <x:c r="G128" s="15" t="n">
        <x:v>41</x:v>
      </x:c>
      <x:c r="H128" s="15" t="str">
        <x:v>code_entry</x:v>
      </x:c>
      <x:c r="I128" s="15" t="str">
        <x:v>移动至 small code entry；PR=(14,3,3,1)；仅变化轴触发</x:v>
      </x:c>
      <x:c r="J128" s="15" t="str">
        <x:v>四电机各20ms轮询/4000ms截止</x:v>
      </x:c>
      <x:c r="K128" s="15" t="str">
        <x:v>全部就绪；缓存四位置；UI使用X/Y1/Z</x:v>
      </x:c>
      <x:c r="L128" s="15" t="str">
        <x:v>MOTION_TIMEOUT</x:v>
      </x:c>
      <x:c r="M128" s="15" t="str">
        <x:v>candidate:layered/L3_group/step_09_coding_labeling.group.json</x:v>
      </x:c>
    </x:row>
    <x:row r="129" ht="34.5" customHeight="1">
      <x:c r="A129" s="19" t="str">
        <x:v>orange_small</x:v>
      </x:c>
      <x:c r="B129" s="18" t="n">
        <x:v>9</x:v>
      </x:c>
      <x:c r="C129" s="18" t="n">
        <x:v>3</x:v>
      </x:c>
      <x:c r="D129" s="19" t="str">
        <x:v>move</x:v>
      </x:c>
      <x:c r="E129" s="19" t="str">
        <x:v>每瓶一次；每配方12次</x:v>
      </x:c>
      <x:c r="F129" s="19" t="str">
        <x:v>X / Y1 / Y2 / Z</x:v>
      </x:c>
      <x:c r="G129" s="19" t="n">
        <x:v>42</x:v>
      </x:c>
      <x:c r="H129" s="19" t="str">
        <x:v>code_work</x:v>
      </x:c>
      <x:c r="I129" s="19" t="str">
        <x:v>移动至 small code work；PR=(14,3,3,4)；仅变化轴触发</x:v>
      </x:c>
      <x:c r="J129" s="19" t="str">
        <x:v>四电机各20ms轮询/4000ms截止</x:v>
      </x:c>
      <x:c r="K129" s="19" t="str">
        <x:v>全部就绪；缓存四位置；UI使用X/Y1/Z</x:v>
      </x:c>
      <x:c r="L129" s="19" t="str">
        <x:v>MOTION_TIMEOUT</x:v>
      </x:c>
      <x:c r="M129" s="19" t="str">
        <x:v>candidate:layered/L3_group/step_09_coding_labeling.group.json</x:v>
      </x:c>
    </x:row>
    <x:row r="130" ht="34.5" customHeight="1">
      <x:c r="A130" s="15" t="str">
        <x:v>orange_small</x:v>
      </x:c>
      <x:c r="B130" s="17" t="n">
        <x:v>9</x:v>
      </x:c>
      <x:c r="C130" s="17" t="n">
        <x:v>4</x:v>
      </x:c>
      <x:c r="D130" s="15" t="str">
        <x:v>legacy</x:v>
      </x:c>
      <x:c r="E130" s="15" t="str">
        <x:v>每瓶一次；每配方12次</x:v>
      </x:c>
      <x:c r="F130" s="15" t="str">
        <x:v>Relay</x:v>
      </x:c>
      <x:c r="G130" s="15" t="str"/>
      <x:c r="H130" s="15" t="str">
        <x:v>05 00 0C FF 00</x:v>
      </x:c>
      <x:c r="I130" s="15" t="str">
        <x:v>Coder mark</x:v>
      </x:c>
      <x:c r="J130" s="15" t="str"/>
      <x:c r="K130" s="15" t="str">
        <x:v>响应回显=05 00 0C FF 00</x:v>
      </x:c>
      <x:c r="L130" s="15" t="str"/>
      <x:c r="M130" s="15" t="str">
        <x:v>candidate:layered/L3_group/step_09_coding_labeling.group.json</x:v>
      </x:c>
    </x:row>
    <x:row r="131" ht="34.5" customHeight="1">
      <x:c r="A131" s="19" t="str">
        <x:v>orange_small</x:v>
      </x:c>
      <x:c r="B131" s="18" t="n">
        <x:v>9</x:v>
      </x:c>
      <x:c r="C131" s="18" t="n">
        <x:v>5</x:v>
      </x:c>
      <x:c r="D131" s="19" t="str">
        <x:v>legacy</x:v>
      </x:c>
      <x:c r="E131" s="19" t="str">
        <x:v>每瓶一次；每配方12次</x:v>
      </x:c>
      <x:c r="F131" s="19" t="str">
        <x:v>Relay</x:v>
      </x:c>
      <x:c r="G131" s="19" t="str"/>
      <x:c r="H131" s="19" t="str">
        <x:v>05 00 0C 00 00</x:v>
      </x:c>
      <x:c r="I131" s="19" t="str">
        <x:v>Coder stop</x:v>
      </x:c>
      <x:c r="J131" s="19" t="str"/>
      <x:c r="K131" s="19" t="str">
        <x:v>响应回显=05 00 0C 00 00</x:v>
      </x:c>
      <x:c r="L131" s="19" t="str"/>
      <x:c r="M131" s="19" t="str">
        <x:v>candidate:layered/L3_group/step_09_coding_labeling.group.json</x:v>
      </x:c>
    </x:row>
    <x:row r="132" ht="34.5" customHeight="1">
      <x:c r="A132" s="15" t="str">
        <x:v>orange_small</x:v>
      </x:c>
      <x:c r="B132" s="17" t="n">
        <x:v>9</x:v>
      </x:c>
      <x:c r="C132" s="17" t="n">
        <x:v>6</x:v>
      </x:c>
      <x:c r="D132" s="15" t="str">
        <x:v>legacy</x:v>
      </x:c>
      <x:c r="E132" s="15" t="str">
        <x:v>每瓶一次；每配方12次</x:v>
      </x:c>
      <x:c r="F132" s="15" t="str">
        <x:v>Relay</x:v>
      </x:c>
      <x:c r="G132" s="15" t="str"/>
      <x:c r="H132" s="15" t="str">
        <x:v>05 00 0D FF 00</x:v>
      </x:c>
      <x:c r="I132" s="15" t="str">
        <x:v>Labeler apply</x:v>
      </x:c>
      <x:c r="J132" s="15" t="str"/>
      <x:c r="K132" s="15" t="str">
        <x:v>响应回显=05 00 0D FF 00</x:v>
      </x:c>
      <x:c r="L132" s="15" t="str"/>
      <x:c r="M132" s="15" t="str">
        <x:v>candidate:layered/L3_group/step_09_coding_labeling.group.json</x:v>
      </x:c>
    </x:row>
    <x:row r="133" ht="34.5" customHeight="1">
      <x:c r="A133" s="19" t="str">
        <x:v>orange_small</x:v>
      </x:c>
      <x:c r="B133" s="18" t="n">
        <x:v>9</x:v>
      </x:c>
      <x:c r="C133" s="18" t="n">
        <x:v>7</x:v>
      </x:c>
      <x:c r="D133" s="19" t="str">
        <x:v>legacy</x:v>
      </x:c>
      <x:c r="E133" s="19" t="str">
        <x:v>每瓶一次；每配方12次</x:v>
      </x:c>
      <x:c r="F133" s="19" t="str">
        <x:v>Relay</x:v>
      </x:c>
      <x:c r="G133" s="19" t="str"/>
      <x:c r="H133" s="19" t="str">
        <x:v>05 00 0D 00 00</x:v>
      </x:c>
      <x:c r="I133" s="19" t="str">
        <x:v>Labeler stop</x:v>
      </x:c>
      <x:c r="J133" s="19" t="str"/>
      <x:c r="K133" s="19" t="str">
        <x:v>响应回显=05 00 0D 00 00</x:v>
      </x:c>
      <x:c r="L133" s="19" t="str"/>
      <x:c r="M133" s="19" t="str">
        <x:v>candidate:layered/L3_group/step_09_coding_labeling.group.json</x:v>
      </x:c>
    </x:row>
    <x:row r="134" ht="34.5" customHeight="1">
      <x:c r="A134" s="15" t="str">
        <x:v>orange_small</x:v>
      </x:c>
      <x:c r="B134" s="17" t="n">
        <x:v>9</x:v>
      </x:c>
      <x:c r="C134" s="17" t="n">
        <x:v>8</x:v>
      </x:c>
      <x:c r="D134" s="15" t="str">
        <x:v>legacy</x:v>
      </x:c>
      <x:c r="E134" s="15" t="str">
        <x:v>每瓶一次；每配方12次</x:v>
      </x:c>
      <x:c r="F134" s="15" t="str">
        <x:v>BottleSensor</x:v>
      </x:c>
      <x:c r="G134" s="15" t="str"/>
      <x:c r="H134" s="15" t="str">
        <x:v>04 00 47 00 01</x:v>
      </x:c>
      <x:c r="I134" s="15" t="str">
        <x:v>Check coding sensor</x:v>
      </x:c>
      <x:c r="J134" s="15" t="str">
        <x:v>每50ms；截止3000ms</x:v>
      </x:c>
      <x:c r="K134" s="15" t="str">
        <x:v>04 02 00 01</x:v>
      </x:c>
      <x:c r="L134" s="15" t="str">
        <x:v>CODE_POS_TIMEOUT</x:v>
      </x:c>
      <x:c r="M134" s="15" t="str">
        <x:v>candidate:layered/L3_group/step_09_coding_labeling.group.json</x:v>
      </x:c>
    </x:row>
    <x:row r="135" ht="34.5" customHeight="1">
      <x:c r="A135" s="19" t="str">
        <x:v>orange_small</x:v>
      </x:c>
      <x:c r="B135" s="18" t="n">
        <x:v>9</x:v>
      </x:c>
      <x:c r="C135" s="18" t="n">
        <x:v>9</x:v>
      </x:c>
      <x:c r="D135" s="19" t="str">
        <x:v>legacy</x:v>
      </x:c>
      <x:c r="E135" s="19" t="str">
        <x:v>每瓶一次；每配方12次</x:v>
      </x:c>
      <x:c r="F135" s="19" t="str"/>
      <x:c r="G135" s="19" t="str"/>
      <x:c r="H135" s="19" t="str">
        <x:v>CodeState</x:v>
      </x:c>
      <x:c r="I135" s="19" t="str">
        <x:v>更新UI=done</x:v>
      </x:c>
      <x:c r="J135" s="19" t="str"/>
      <x:c r="K135" s="19" t="str"/>
      <x:c r="L135" s="19" t="str"/>
      <x:c r="M135" s="19" t="str">
        <x:v>candidate:layered/L3_group/step_09_coding_labeling.group.json</x:v>
      </x:c>
    </x:row>
    <x:row r="136" ht="34.5" customHeight="1">
      <x:c r="A136" s="15" t="str">
        <x:v>orange_small</x:v>
      </x:c>
      <x:c r="B136" s="17" t="n">
        <x:v>9</x:v>
      </x:c>
      <x:c r="C136" s="17" t="n">
        <x:v>10</x:v>
      </x:c>
      <x:c r="D136" s="15" t="str">
        <x:v>move</x:v>
      </x:c>
      <x:c r="E136" s="15" t="str">
        <x:v>每瓶一次；每配方12次</x:v>
      </x:c>
      <x:c r="F136" s="15" t="str">
        <x:v>X / Y1 / Y2 / Z</x:v>
      </x:c>
      <x:c r="G136" s="15" t="n">
        <x:v>41</x:v>
      </x:c>
      <x:c r="H136" s="15" t="str">
        <x:v>code_entry</x:v>
      </x:c>
      <x:c r="I136" s="15" t="str">
        <x:v>移动至 small code entry；PR=(14,3,3,1)；仅变化轴触发</x:v>
      </x:c>
      <x:c r="J136" s="15" t="str">
        <x:v>四电机各20ms轮询/4000ms截止</x:v>
      </x:c>
      <x:c r="K136" s="15" t="str">
        <x:v>全部就绪；缓存四位置；UI使用X/Y1/Z</x:v>
      </x:c>
      <x:c r="L136" s="15" t="str">
        <x:v>MOTION_TIMEOUT</x:v>
      </x:c>
      <x:c r="M136" s="15" t="str">
        <x:v>candidate:layered/L3_group/step_09_coding_labeling.group.json</x:v>
      </x:c>
    </x:row>
    <x:row r="137" ht="34.5" customHeight="1">
      <x:c r="A137" s="19" t="str">
        <x:v>orange_small</x:v>
      </x:c>
      <x:c r="B137" s="18" t="n">
        <x:v>10</x:v>
      </x:c>
      <x:c r="C137" s="18" t="n">
        <x:v>1</x:v>
      </x:c>
      <x:c r="D137" s="19" t="str">
        <x:v>legacy</x:v>
      </x:c>
      <x:c r="E137" s="19" t="str">
        <x:v>每瓶一次；每配方12次</x:v>
      </x:c>
      <x:c r="F137" s="19" t="str"/>
      <x:c r="G137" s="19" t="str"/>
      <x:c r="H137" s="19" t="str">
        <x:v>stage</x:v>
      </x:c>
      <x:c r="I137" s="19" t="str">
        <x:v>更新UI=10</x:v>
      </x:c>
      <x:c r="J137" s="19" t="str"/>
      <x:c r="K137" s="19" t="str"/>
      <x:c r="L137" s="19" t="str"/>
      <x:c r="M137" s="19" t="str">
        <x:v>candidate:layered/L3_group/step_10_finished_product_discharge.group.json</x:v>
      </x:c>
    </x:row>
    <x:row r="138" ht="34.5" customHeight="1">
      <x:c r="A138" s="15" t="str">
        <x:v>orange_small</x:v>
      </x:c>
      <x:c r="B138" s="17" t="n">
        <x:v>10</x:v>
      </x:c>
      <x:c r="C138" s="17" t="n">
        <x:v>2</x:v>
      </x:c>
      <x:c r="D138" s="15" t="str">
        <x:v>move</x:v>
      </x:c>
      <x:c r="E138" s="15" t="str">
        <x:v>每瓶一次；每配方12次</x:v>
      </x:c>
      <x:c r="F138" s="15" t="str">
        <x:v>X / Y1 / Y2 / Z</x:v>
      </x:c>
      <x:c r="G138" s="15" t="n">
        <x:v>43</x:v>
      </x:c>
      <x:c r="H138" s="15" t="str">
        <x:v>finished_entry</x:v>
      </x:c>
      <x:c r="I138" s="15" t="str">
        <x:v>移动至 small finished entry；PR=(12,9,9,1)；仅变化轴触发</x:v>
      </x:c>
      <x:c r="J138" s="15" t="str">
        <x:v>四电机各20ms轮询/4000ms截止</x:v>
      </x:c>
      <x:c r="K138" s="15" t="str">
        <x:v>全部就绪；缓存四位置；UI使用X/Y1/Z</x:v>
      </x:c>
      <x:c r="L138" s="15" t="str">
        <x:v>MOTION_TIMEOUT</x:v>
      </x:c>
      <x:c r="M138" s="15" t="str">
        <x:v>candidate:layered/L3_group/step_10_finished_product_discharge.group.json</x:v>
      </x:c>
    </x:row>
    <x:row r="139" ht="34.5" customHeight="1">
      <x:c r="A139" s="19" t="str">
        <x:v>orange_small</x:v>
      </x:c>
      <x:c r="B139" s="18" t="n">
        <x:v>10</x:v>
      </x:c>
      <x:c r="C139" s="18" t="n">
        <x:v>3</x:v>
      </x:c>
      <x:c r="D139" s="19" t="str">
        <x:v>move</x:v>
      </x:c>
      <x:c r="E139" s="19" t="str">
        <x:v>每瓶一次；每配方12次</x:v>
      </x:c>
      <x:c r="F139" s="19" t="str">
        <x:v>X / Y1 / Y2 / Z</x:v>
      </x:c>
      <x:c r="G139" s="19" t="n">
        <x:v>44</x:v>
      </x:c>
      <x:c r="H139" s="19" t="str">
        <x:v>finished_work</x:v>
      </x:c>
      <x:c r="I139" s="19" t="str">
        <x:v>移动至 small finished work；PR=(12,9,9,4)；仅变化轴触发</x:v>
      </x:c>
      <x:c r="J139" s="19" t="str">
        <x:v>四电机各20ms轮询/4000ms截止</x:v>
      </x:c>
      <x:c r="K139" s="19" t="str">
        <x:v>全部就绪；缓存四位置；UI使用X/Y1/Z</x:v>
      </x:c>
      <x:c r="L139" s="19" t="str">
        <x:v>MOTION_TIMEOUT</x:v>
      </x:c>
      <x:c r="M139" s="19" t="str">
        <x:v>candidate:layered/L3_group/step_10_finished_product_discharge.group.json</x:v>
      </x:c>
    </x:row>
    <x:row r="140" ht="34.5" customHeight="1">
      <x:c r="A140" s="15" t="str">
        <x:v>orange_small</x:v>
      </x:c>
      <x:c r="B140" s="17" t="n">
        <x:v>10</x:v>
      </x:c>
      <x:c r="C140" s="17" t="n">
        <x:v>4</x:v>
      </x:c>
      <x:c r="D140" s="15" t="str">
        <x:v>coil</x:v>
      </x:c>
      <x:c r="E140" s="15" t="str">
        <x:v>每瓶一次；每配方12次</x:v>
      </x:c>
      <x:c r="F140" s="15" t="str">
        <x:v>Gripper</x:v>
      </x:c>
      <x:c r="G140" s="15" t="str"/>
      <x:c r="H140" s="15" t="str">
        <x:v>FC05 0x0000</x:v>
      </x:c>
      <x:c r="I140" s="15" t="str">
        <x:v>关闭</x:v>
      </x:c>
      <x:c r="J140" s="15" t="str"/>
      <x:c r="K140" s="15" t="str">
        <x:v>写入响应回显</x:v>
      </x:c>
      <x:c r="L140" s="15" t="str"/>
      <x:c r="M140" s="15" t="str">
        <x:v>candidate:layered/L3_group/step_10_finished_product_discharge.group.json</x:v>
      </x:c>
    </x:row>
    <x:row r="141" ht="34.5" customHeight="1">
      <x:c r="A141" s="19" t="str">
        <x:v>orange_small</x:v>
      </x:c>
      <x:c r="B141" s="18" t="n">
        <x:v>10</x:v>
      </x:c>
      <x:c r="C141" s="18" t="n">
        <x:v>5</x:v>
      </x:c>
      <x:c r="D141" s="19" t="str">
        <x:v>legacy</x:v>
      </x:c>
      <x:c r="E141" s="19" t="str">
        <x:v>每瓶一次；每配方12次</x:v>
      </x:c>
      <x:c r="F141" s="19" t="str">
        <x:v>Relay</x:v>
      </x:c>
      <x:c r="G141" s="19" t="str"/>
      <x:c r="H141" s="19" t="str">
        <x:v>05 00 08 FF 00</x:v>
      </x:c>
      <x:c r="I141" s="19" t="str">
        <x:v>Write Relay register 0008</x:v>
      </x:c>
      <x:c r="J141" s="19" t="str"/>
      <x:c r="K141" s="19" t="str">
        <x:v>响应回显=05 00 08 FF 00</x:v>
      </x:c>
      <x:c r="L141" s="19" t="str"/>
      <x:c r="M141" s="19" t="str">
        <x:v>candidate:layered/L3_group/step_10_finished_product_discharge.group.json</x:v>
      </x:c>
    </x:row>
    <x:row r="142" ht="34.5" customHeight="1">
      <x:c r="A142" s="15" t="str">
        <x:v>orange_small</x:v>
      </x:c>
      <x:c r="B142" s="17" t="n">
        <x:v>10</x:v>
      </x:c>
      <x:c r="C142" s="17" t="n">
        <x:v>6</x:v>
      </x:c>
      <x:c r="D142" s="15" t="str">
        <x:v>trigger</x:v>
      </x:c>
      <x:c r="E142" s="15" t="str">
        <x:v>每瓶一次；每配方12次</x:v>
      </x:c>
      <x:c r="F142" s="15" t="str">
        <x:v>Outfeed</x:v>
      </x:c>
      <x:c r="G142" s="15" t="str"/>
      <x:c r="H142" s="15" t="str">
        <x:v>FC06 0x6002=22</x:v>
      </x:c>
      <x:c r="I142" s="15" t="str">
        <x:v>触发预设PR6</x:v>
      </x:c>
      <x:c r="J142" s="15" t="str"/>
      <x:c r="K142" s="15" t="str">
        <x:v>写入响应回显</x:v>
      </x:c>
      <x:c r="L142" s="15" t="str"/>
      <x:c r="M142" s="15" t="str">
        <x:v>candidate:layered/L3_group/step_10_finished_product_discharge.group.json</x:v>
      </x:c>
    </x:row>
    <x:row r="143" ht="34.5" customHeight="1">
      <x:c r="A143" s="19" t="str">
        <x:v>orange_small</x:v>
      </x:c>
      <x:c r="B143" s="18" t="n">
        <x:v>10</x:v>
      </x:c>
      <x:c r="C143" s="18" t="n">
        <x:v>7</x:v>
      </x:c>
      <x:c r="D143" s="19" t="str">
        <x:v>ready</x:v>
      </x:c>
      <x:c r="E143" s="19" t="str">
        <x:v>每瓶一次；每配方12次</x:v>
      </x:c>
      <x:c r="F143" s="19" t="str">
        <x:v>Outfeed</x:v>
      </x:c>
      <x:c r="G143" s="19" t="str"/>
      <x:c r="H143" s="19" t="str">
        <x:v>FC04 0x0000</x:v>
      </x:c>
      <x:c r="I143" s="19" t="str">
        <x:v>等待设备完成</x:v>
      </x:c>
      <x:c r="J143" s="19" t="str">
        <x:v>每20ms；截止4000ms</x:v>
      </x:c>
      <x:c r="K143" s="19" t="str">
        <x:v>04 02 00 01</x:v>
      </x:c>
      <x:c r="L143" s="19" t="str">
        <x:v>OUTFEED_TIMEOUT</x:v>
      </x:c>
      <x:c r="M143" s="19" t="str">
        <x:v>candidate:layered/L3_group/step_10_finished_product_discharge.group.json</x:v>
      </x:c>
    </x:row>
    <x:row r="144" ht="34.5" customHeight="1">
      <x:c r="A144" s="15" t="str">
        <x:v>orange_small</x:v>
      </x:c>
      <x:c r="B144" s="17" t="n">
        <x:v>10</x:v>
      </x:c>
      <x:c r="C144" s="17" t="n">
        <x:v>8</x:v>
      </x:c>
      <x:c r="D144" s="15" t="str">
        <x:v>legacy</x:v>
      </x:c>
      <x:c r="E144" s="15" t="str">
        <x:v>每瓶一次；每配方12次</x:v>
      </x:c>
      <x:c r="F144" s="15" t="str">
        <x:v>BottleSensor</x:v>
      </x:c>
      <x:c r="G144" s="15" t="str"/>
      <x:c r="H144" s="15" t="str">
        <x:v>04 00 40 00 01</x:v>
      </x:c>
      <x:c r="I144" s="15" t="str">
        <x:v>Check discharge sensor</x:v>
      </x:c>
      <x:c r="J144" s="15" t="str">
        <x:v>每100ms；截止5000ms</x:v>
      </x:c>
      <x:c r="K144" s="15" t="str">
        <x:v>04 02 00 01</x:v>
      </x:c>
      <x:c r="L144" s="15" t="str">
        <x:v>OUT_SENSOR_TIMEOUT</x:v>
      </x:c>
      <x:c r="M144" s="15" t="str">
        <x:v>candidate:layered/L3_group/step_10_finished_product_discharge.group.json</x:v>
      </x:c>
    </x:row>
    <x:row r="145" ht="34.5" customHeight="1">
      <x:c r="A145" s="19" t="str">
        <x:v>orange_small</x:v>
      </x:c>
      <x:c r="B145" s="18" t="n">
        <x:v>10</x:v>
      </x:c>
      <x:c r="C145" s="18" t="n">
        <x:v>9</x:v>
      </x:c>
      <x:c r="D145" s="19" t="str">
        <x:v>legacy</x:v>
      </x:c>
      <x:c r="E145" s="19" t="str">
        <x:v>每瓶一次；每配方12次</x:v>
      </x:c>
      <x:c r="F145" s="19" t="str">
        <x:v>FlowMeter</x:v>
      </x:c>
      <x:c r="G145" s="19" t="str"/>
      <x:c r="H145" s="19" t="str">
        <x:v>03 00 20 00 02；解码={"cacheStartByte":2,"cacheLength":4,"cacheEndian":"big","valueType":"int"}</x:v>
      </x:c>
      <x:c r="I145" s="19" t="str">
        <x:v>缓存totalCount</x:v>
      </x:c>
      <x:c r="J145" s="19" t="str"/>
      <x:c r="K145" s="19" t="str"/>
      <x:c r="L145" s="19" t="str"/>
      <x:c r="M145" s="19" t="str">
        <x:v>candidate:layered/L3_group/step_10_finished_product_discharge.group.json</x:v>
      </x:c>
    </x:row>
    <x:row r="146" ht="34.5" customHeight="1">
      <x:c r="A146" s="15" t="str">
        <x:v>orange_small</x:v>
      </x:c>
      <x:c r="B146" s="17" t="n">
        <x:v>10</x:v>
      </x:c>
      <x:c r="C146" s="17" t="n">
        <x:v>10</x:v>
      </x:c>
      <x:c r="D146" s="15" t="str">
        <x:v>legacy</x:v>
      </x:c>
      <x:c r="E146" s="15" t="str">
        <x:v>每瓶一次；每配方12次</x:v>
      </x:c>
      <x:c r="F146" s="15" t="str">
        <x:v>Relay</x:v>
      </x:c>
      <x:c r="G146" s="15" t="str"/>
      <x:c r="H146" s="15" t="str">
        <x:v>05 00 08 00 00</x:v>
      </x:c>
      <x:c r="I146" s="15" t="str">
        <x:v>Write Relay register 0008</x:v>
      </x:c>
      <x:c r="J146" s="15" t="str"/>
      <x:c r="K146" s="15" t="str">
        <x:v>响应回显=05 00 08 00 00</x:v>
      </x:c>
      <x:c r="L146" s="15" t="str"/>
      <x:c r="M146" s="15" t="str">
        <x:v>candidate:layered/L3_group/step_10_finished_product_discharge.group.json</x:v>
      </x:c>
    </x:row>
    <x:row r="147" ht="34.5" customHeight="1">
      <x:c r="A147" s="19" t="str">
        <x:v>orange_small</x:v>
      </x:c>
      <x:c r="B147" s="18" t="n">
        <x:v>10</x:v>
      </x:c>
      <x:c r="C147" s="18" t="n">
        <x:v>11</x:v>
      </x:c>
      <x:c r="D147" s="19" t="str">
        <x:v>move</x:v>
      </x:c>
      <x:c r="E147" s="19" t="str">
        <x:v>每瓶一次；每配方12次</x:v>
      </x:c>
      <x:c r="F147" s="19" t="str">
        <x:v>X / Y1 / Y2 / Z</x:v>
      </x:c>
      <x:c r="G147" s="19" t="n">
        <x:v>43</x:v>
      </x:c>
      <x:c r="H147" s="19" t="str">
        <x:v>finished_entry</x:v>
      </x:c>
      <x:c r="I147" s="19" t="str">
        <x:v>移动至 small finished entry；PR=(12,9,9,1)；仅变化轴触发</x:v>
      </x:c>
      <x:c r="J147" s="19" t="str">
        <x:v>四电机各20ms轮询/4000ms截止</x:v>
      </x:c>
      <x:c r="K147" s="19" t="str">
        <x:v>全部就绪；缓存四位置；UI使用X/Y1/Z</x:v>
      </x:c>
      <x:c r="L147" s="19" t="str">
        <x:v>MOTION_TIMEOUT</x:v>
      </x:c>
      <x:c r="M147" s="19" t="str">
        <x:v>candidate:layered/L3_group/step_10_finished_product_discharge.group.json</x:v>
      </x:c>
    </x:row>
    <x:row r="148" ht="34.5" customHeight="1">
      <x:c r="A148" s="15" t="str">
        <x:v>orange_small</x:v>
      </x:c>
      <x:c r="B148" s="17" t="n">
        <x:v>10</x:v>
      </x:c>
      <x:c r="C148" s="17" t="n">
        <x:v>12</x:v>
      </x:c>
      <x:c r="D148" s="15" t="str">
        <x:v>count</x:v>
      </x:c>
      <x:c r="E148" s="15" t="str">
        <x:v>每瓶一次；每配方12次</x:v>
      </x:c>
      <x:c r="F148" s="15" t="str"/>
      <x:c r="G148" s="15" t="str"/>
      <x:c r="H148" s="15" t="str">
        <x:v>completed</x:v>
      </x:c>
      <x:c r="I148" s="15" t="str">
        <x:v>完成计数加1并刷新UI</x:v>
      </x:c>
      <x:c r="J148" s="15" t="str"/>
      <x:c r="K148" s="15" t="str"/>
      <x:c r="L148" s="15" t="str"/>
      <x:c r="M148" s="15" t="str">
        <x:v>candidate:layered/L3_group/step_10_finished_product_discharge.group.json</x:v>
      </x:c>
    </x:row>
    <x:row r="149" ht="34.5" customHeight="1">
      <x:c r="A149" s="19" t="str">
        <x:v>orange_small</x:v>
      </x:c>
      <x:c r="B149" s="18" t="n">
        <x:v>11</x:v>
      </x:c>
      <x:c r="C149" s="18" t="n">
        <x:v>1</x:v>
      </x:c>
      <x:c r="D149" s="19" t="str">
        <x:v>legacy</x:v>
      </x:c>
      <x:c r="E149" s="19" t="str">
        <x:v>每配方一次</x:v>
      </x:c>
      <x:c r="F149" s="19" t="str"/>
      <x:c r="G149" s="19" t="str"/>
      <x:c r="H149" s="19" t="str">
        <x:v>stage</x:v>
      </x:c>
      <x:c r="I149" s="19" t="str">
        <x:v>更新UI=11</x:v>
      </x:c>
      <x:c r="J149" s="19" t="str"/>
      <x:c r="K149" s="19" t="str"/>
      <x:c r="L149" s="19" t="str"/>
      <x:c r="M149" s="19" t="str">
        <x:v>candidate:layered/L3_group/step_11_cip_cleaning_sanitizing.group.json</x:v>
      </x:c>
    </x:row>
    <x:row r="150" ht="34.5" customHeight="1">
      <x:c r="A150" s="15" t="str">
        <x:v>orange_small</x:v>
      </x:c>
      <x:c r="B150" s="17" t="n">
        <x:v>11</x:v>
      </x:c>
      <x:c r="C150" s="17" t="n">
        <x:v>2</x:v>
      </x:c>
      <x:c r="D150" s="15" t="str">
        <x:v>legacy</x:v>
      </x:c>
      <x:c r="E150" s="15" t="str">
        <x:v>每配方一次</x:v>
      </x:c>
      <x:c r="F150" s="15" t="str">
        <x:v>CIPValve</x:v>
      </x:c>
      <x:c r="G150" s="15" t="str"/>
      <x:c r="H150" s="15" t="str">
        <x:v>05 00 13 FF 00</x:v>
      </x:c>
      <x:c r="I150" s="15" t="str">
        <x:v>Open CIP valve</x:v>
      </x:c>
      <x:c r="J150" s="15" t="str"/>
      <x:c r="K150" s="15" t="str">
        <x:v>响应回显=05 00 13 FF 00</x:v>
      </x:c>
      <x:c r="L150" s="15" t="str"/>
      <x:c r="M150" s="15" t="str">
        <x:v>candidate:layered/L3_group/step_11_cip_cleaning_sanitizing.group.json</x:v>
      </x:c>
    </x:row>
    <x:row r="151" ht="34.5" customHeight="1">
      <x:c r="A151" s="19" t="str">
        <x:v>orange_small</x:v>
      </x:c>
      <x:c r="B151" s="18" t="n">
        <x:v>11</x:v>
      </x:c>
      <x:c r="C151" s="18" t="n">
        <x:v>3</x:v>
      </x:c>
      <x:c r="D151" s="19" t="str">
        <x:v>legacy</x:v>
      </x:c>
      <x:c r="E151" s="19" t="str">
        <x:v>每配方一次</x:v>
      </x:c>
      <x:c r="F151" s="19" t="str">
        <x:v>Relay</x:v>
      </x:c>
      <x:c r="G151" s="19" t="str"/>
      <x:c r="H151" s="19" t="str">
        <x:v>05 00 0E FF 00</x:v>
      </x:c>
      <x:c r="I151" s="19" t="str">
        <x:v>CIP pump start</x:v>
      </x:c>
      <x:c r="J151" s="19" t="str"/>
      <x:c r="K151" s="19" t="str">
        <x:v>响应回显=05 00 0E FF 00</x:v>
      </x:c>
      <x:c r="L151" s="19" t="str"/>
      <x:c r="M151" s="19" t="str">
        <x:v>candidate:layered/L3_group/step_11_cip_cleaning_sanitizing.group.json</x:v>
      </x:c>
    </x:row>
    <x:row r="152" ht="34.5" customHeight="1">
      <x:c r="A152" s="15" t="str">
        <x:v>orange_small</x:v>
      </x:c>
      <x:c r="B152" s="17" t="n">
        <x:v>11</x:v>
      </x:c>
      <x:c r="C152" s="17" t="n">
        <x:v>4</x:v>
      </x:c>
      <x:c r="D152" s="15" t="str">
        <x:v>legacy</x:v>
      </x:c>
      <x:c r="E152" s="15" t="str">
        <x:v>每配方一次</x:v>
      </x:c>
      <x:c r="F152" s="15" t="str"/>
      <x:c r="G152" s="15" t="str"/>
      <x:c r="H152" s="15" t="str"/>
      <x:c r="I152" s="15" t="str">
        <x:v>显式等待(ms)</x:v>
      </x:c>
      <x:c r="J152" s="15" t="n">
        <x:v>120000</x:v>
      </x:c>
      <x:c r="K152" s="15" t="str"/>
      <x:c r="L152" s="15" t="str"/>
      <x:c r="M152" s="15" t="str">
        <x:v>candidate:layered/L3_group/step_11_cip_cleaning_sanitizing.group.json</x:v>
      </x:c>
    </x:row>
    <x:row r="153" ht="34.5" customHeight="1">
      <x:c r="A153" s="19" t="str">
        <x:v>orange_small</x:v>
      </x:c>
      <x:c r="B153" s="18" t="n">
        <x:v>11</x:v>
      </x:c>
      <x:c r="C153" s="18" t="n">
        <x:v>5</x:v>
      </x:c>
      <x:c r="D153" s="19" t="str">
        <x:v>legacy</x:v>
      </x:c>
      <x:c r="E153" s="19" t="str">
        <x:v>每配方一次</x:v>
      </x:c>
      <x:c r="F153" s="19" t="str">
        <x:v>PressureSensor</x:v>
      </x:c>
      <x:c r="G153" s="19" t="str"/>
      <x:c r="H153" s="19" t="str">
        <x:v>03 00 10 00 02；解码={"valueStartByte":2,"valueLength":4,"valueEndian":"little","valueType":"float"}</x:v>
      </x:c>
      <x:c r="I153" s="19" t="str">
        <x:v>Check CIP pressure &gt;= 0.3MPa</x:v>
      </x:c>
      <x:c r="J153" s="19" t="str"/>
      <x:c r="K153" s="19" t="str">
        <x:v>greaterOrEqual 0.3</x:v>
      </x:c>
      <x:c r="L153" s="19" t="str">
        <x:v>CIP_PRESSURE_LOW</x:v>
      </x:c>
      <x:c r="M153" s="19" t="str">
        <x:v>candidate:layered/L3_group/step_11_cip_cleaning_sanitizing.group.json</x:v>
      </x:c>
    </x:row>
    <x:row r="154" ht="34.5" customHeight="1">
      <x:c r="A154" s="15" t="str">
        <x:v>orange_small</x:v>
      </x:c>
      <x:c r="B154" s="17" t="n">
        <x:v>11</x:v>
      </x:c>
      <x:c r="C154" s="17" t="n">
        <x:v>6</x:v>
      </x:c>
      <x:c r="D154" s="15" t="str">
        <x:v>legacy</x:v>
      </x:c>
      <x:c r="E154" s="15" t="str">
        <x:v>每配方一次</x:v>
      </x:c>
      <x:c r="F154" s="15" t="str">
        <x:v>CIPValve</x:v>
      </x:c>
      <x:c r="G154" s="15" t="str"/>
      <x:c r="H154" s="15" t="str">
        <x:v>05 00 14 FF 00</x:v>
      </x:c>
      <x:c r="I154" s="15" t="str">
        <x:v>open Drain valve</x:v>
      </x:c>
      <x:c r="J154" s="15" t="str"/>
      <x:c r="K154" s="15" t="str">
        <x:v>响应回显=05 00 14 FF 00</x:v>
      </x:c>
      <x:c r="L154" s="15" t="str"/>
      <x:c r="M154" s="15" t="str">
        <x:v>candidate:layered/L3_group/step_11_cip_cleaning_sanitizing.group.json</x:v>
      </x:c>
    </x:row>
    <x:row r="155" ht="34.5" customHeight="1">
      <x:c r="A155" s="19" t="str">
        <x:v>orange_small</x:v>
      </x:c>
      <x:c r="B155" s="18" t="n">
        <x:v>11</x:v>
      </x:c>
      <x:c r="C155" s="18" t="n">
        <x:v>7</x:v>
      </x:c>
      <x:c r="D155" s="19" t="str">
        <x:v>legacy</x:v>
      </x:c>
      <x:c r="E155" s="19" t="str">
        <x:v>每配方一次</x:v>
      </x:c>
      <x:c r="F155" s="19" t="str"/>
      <x:c r="G155" s="19" t="str"/>
      <x:c r="H155" s="19" t="str"/>
      <x:c r="I155" s="19" t="str">
        <x:v>显式等待(ms)</x:v>
      </x:c>
      <x:c r="J155" s="19" t="n">
        <x:v>30000</x:v>
      </x:c>
      <x:c r="K155" s="19" t="str"/>
      <x:c r="L155" s="19" t="str"/>
      <x:c r="M155" s="19" t="str">
        <x:v>candidate:layered/L3_group/step_11_cip_cleaning_sanitizing.group.json</x:v>
      </x:c>
    </x:row>
    <x:row r="156" ht="34.5" customHeight="1">
      <x:c r="A156" s="15" t="str">
        <x:v>orange_small</x:v>
      </x:c>
      <x:c r="B156" s="17" t="n">
        <x:v>11</x:v>
      </x:c>
      <x:c r="C156" s="17" t="n">
        <x:v>8</x:v>
      </x:c>
      <x:c r="D156" s="15" t="str">
        <x:v>legacy</x:v>
      </x:c>
      <x:c r="E156" s="15" t="str">
        <x:v>每配方一次</x:v>
      </x:c>
      <x:c r="F156" s="15" t="str">
        <x:v>CIPValve</x:v>
      </x:c>
      <x:c r="G156" s="15" t="str"/>
      <x:c r="H156" s="15" t="str">
        <x:v>05 00 14 00 00</x:v>
      </x:c>
      <x:c r="I156" s="15" t="str">
        <x:v>close Drain valve</x:v>
      </x:c>
      <x:c r="J156" s="15" t="str"/>
      <x:c r="K156" s="15" t="str">
        <x:v>响应回显=05 00 14 00 00</x:v>
      </x:c>
      <x:c r="L156" s="15" t="str"/>
      <x:c r="M156" s="15" t="str">
        <x:v>candidate:layered/L3_group/step_11_cip_cleaning_sanitizing.group.json</x:v>
      </x:c>
    </x:row>
    <x:row r="157" ht="34.5" customHeight="1">
      <x:c r="A157" s="19" t="str">
        <x:v>orange_small</x:v>
      </x:c>
      <x:c r="B157" s="18" t="n">
        <x:v>11</x:v>
      </x:c>
      <x:c r="C157" s="18" t="n">
        <x:v>9</x:v>
      </x:c>
      <x:c r="D157" s="19" t="str">
        <x:v>legacy</x:v>
      </x:c>
      <x:c r="E157" s="19" t="str">
        <x:v>每配方一次</x:v>
      </x:c>
      <x:c r="F157" s="19" t="str">
        <x:v>Relay</x:v>
      </x:c>
      <x:c r="G157" s="19" t="str"/>
      <x:c r="H157" s="19" t="str">
        <x:v>05 00 0E 00 00</x:v>
      </x:c>
      <x:c r="I157" s="19" t="str">
        <x:v>CIP pump stop</x:v>
      </x:c>
      <x:c r="J157" s="19" t="str"/>
      <x:c r="K157" s="19" t="str">
        <x:v>响应回显=05 00 0E 00 00</x:v>
      </x:c>
      <x:c r="L157" s="19" t="str"/>
      <x:c r="M157" s="19" t="str">
        <x:v>candidate:layered/L3_group/step_11_cip_cleaning_sanitizing.group.json</x:v>
      </x:c>
    </x:row>
    <x:row r="158" ht="34.5" customHeight="1">
      <x:c r="A158" s="15" t="str">
        <x:v>orange_small</x:v>
      </x:c>
      <x:c r="B158" s="17" t="n">
        <x:v>11</x:v>
      </x:c>
      <x:c r="C158" s="17" t="n">
        <x:v>10</x:v>
      </x:c>
      <x:c r="D158" s="15" t="str">
        <x:v>legacy</x:v>
      </x:c>
      <x:c r="E158" s="15" t="str">
        <x:v>每配方一次</x:v>
      </x:c>
      <x:c r="F158" s="15" t="str">
        <x:v>RinseValve</x:v>
      </x:c>
      <x:c r="G158" s="15" t="str"/>
      <x:c r="H158" s="15" t="str">
        <x:v>05 00 12 FF 00</x:v>
      </x:c>
      <x:c r="I158" s="15" t="str">
        <x:v>open fresh water Rinse valve</x:v>
      </x:c>
      <x:c r="J158" s="15" t="str"/>
      <x:c r="K158" s="15" t="str">
        <x:v>响应回显=05 00 12 FF 00</x:v>
      </x:c>
      <x:c r="L158" s="15" t="str"/>
      <x:c r="M158" s="15" t="str">
        <x:v>candidate:layered/L3_group/step_11_cip_cleaning_sanitizing.group.json</x:v>
      </x:c>
    </x:row>
    <x:row r="159" ht="34.5" customHeight="1">
      <x:c r="A159" s="19" t="str">
        <x:v>orange_small</x:v>
      </x:c>
      <x:c r="B159" s="18" t="n">
        <x:v>11</x:v>
      </x:c>
      <x:c r="C159" s="18" t="n">
        <x:v>11</x:v>
      </x:c>
      <x:c r="D159" s="19" t="str">
        <x:v>legacy</x:v>
      </x:c>
      <x:c r="E159" s="19" t="str">
        <x:v>每配方一次</x:v>
      </x:c>
      <x:c r="F159" s="19" t="str"/>
      <x:c r="G159" s="19" t="str"/>
      <x:c r="H159" s="19" t="str"/>
      <x:c r="I159" s="19" t="str">
        <x:v>显式等待(ms)</x:v>
      </x:c>
      <x:c r="J159" s="19" t="n">
        <x:v>20000</x:v>
      </x:c>
      <x:c r="K159" s="19" t="str"/>
      <x:c r="L159" s="19" t="str"/>
      <x:c r="M159" s="19" t="str">
        <x:v>candidate:layered/L3_group/step_11_cip_cleaning_sanitizing.group.json</x:v>
      </x:c>
    </x:row>
    <x:row r="160" ht="34.5" customHeight="1">
      <x:c r="A160" s="15" t="str">
        <x:v>orange_small</x:v>
      </x:c>
      <x:c r="B160" s="17" t="n">
        <x:v>11</x:v>
      </x:c>
      <x:c r="C160" s="17" t="n">
        <x:v>12</x:v>
      </x:c>
      <x:c r="D160" s="15" t="str">
        <x:v>legacy</x:v>
      </x:c>
      <x:c r="E160" s="15" t="str">
        <x:v>每配方一次</x:v>
      </x:c>
      <x:c r="F160" s="15" t="str">
        <x:v>RinseValve</x:v>
      </x:c>
      <x:c r="G160" s="15" t="str"/>
      <x:c r="H160" s="15" t="str">
        <x:v>05 00 12 00 00</x:v>
      </x:c>
      <x:c r="I160" s="15" t="str">
        <x:v>close fresh water Rinse valve</x:v>
      </x:c>
      <x:c r="J160" s="15" t="str"/>
      <x:c r="K160" s="15" t="str">
        <x:v>响应回显=05 00 12 00 00</x:v>
      </x:c>
      <x:c r="L160" s="15" t="str"/>
      <x:c r="M160" s="15" t="str">
        <x:v>candidate:layered/L3_group/step_11_cip_cleaning_sanitizing.group.json</x:v>
      </x:c>
    </x:row>
    <x:row r="161" ht="34.5" customHeight="1">
      <x:c r="A161" s="19" t="str">
        <x:v>orange_small</x:v>
      </x:c>
      <x:c r="B161" s="18" t="n">
        <x:v>11</x:v>
      </x:c>
      <x:c r="C161" s="18" t="n">
        <x:v>13</x:v>
      </x:c>
      <x:c r="D161" s="19" t="str">
        <x:v>legacy</x:v>
      </x:c>
      <x:c r="E161" s="19" t="str">
        <x:v>每配方一次</x:v>
      </x:c>
      <x:c r="F161" s="19" t="str">
        <x:v>CIPValve</x:v>
      </x:c>
      <x:c r="G161" s="19" t="str"/>
      <x:c r="H161" s="19" t="str">
        <x:v>05 00 13 00 00</x:v>
      </x:c>
      <x:c r="I161" s="19" t="str">
        <x:v>Close CIP valve</x:v>
      </x:c>
      <x:c r="J161" s="19" t="str"/>
      <x:c r="K161" s="19" t="str">
        <x:v>响应回显=05 00 13 00 00</x:v>
      </x:c>
      <x:c r="L161" s="19" t="str"/>
      <x:c r="M161" s="19" t="str">
        <x:v>candidate:layered/L3_group/step_11_cip_cleaning_sanitizing.group.json</x:v>
      </x:c>
    </x:row>
    <x:row r="162" ht="34.5" customHeight="1">
      <x:c r="A162" s="15" t="str">
        <x:v>orange_small</x:v>
      </x:c>
      <x:c r="B162" s="17" t="n">
        <x:v>11</x:v>
      </x:c>
      <x:c r="C162" s="17" t="n">
        <x:v>14</x:v>
      </x:c>
      <x:c r="D162" s="15" t="str">
        <x:v>legacy</x:v>
      </x:c>
      <x:c r="E162" s="15" t="str">
        <x:v>每配方一次</x:v>
      </x:c>
      <x:c r="F162" s="15" t="str"/>
      <x:c r="G162" s="15" t="str"/>
      <x:c r="H162" s="15" t="str">
        <x:v>CIPState</x:v>
      </x:c>
      <x:c r="I162" s="15" t="str">
        <x:v>更新UI=done</x:v>
      </x:c>
      <x:c r="J162" s="15" t="str"/>
      <x:c r="K162" s="15" t="str"/>
      <x:c r="L162" s="15" t="str"/>
      <x:c r="M162" s="15" t="str">
        <x:v>candidate:layered/L3_group/step_11_cip_cleaning_sanitizing.group.json</x:v>
      </x:c>
    </x:row>
    <x:row r="163" ht="34.5" customHeight="1">
      <x:c r="A163" s="19" t="str">
        <x:v>orange_small</x:v>
      </x:c>
      <x:c r="B163" s="18" t="n">
        <x:v>12</x:v>
      </x:c>
      <x:c r="C163" s="18" t="n">
        <x:v>1</x:v>
      </x:c>
      <x:c r="D163" s="19" t="str">
        <x:v>legacy</x:v>
      </x:c>
      <x:c r="E163" s="19" t="str">
        <x:v>每配方一次</x:v>
      </x:c>
      <x:c r="F163" s="19" t="str"/>
      <x:c r="G163" s="19" t="str"/>
      <x:c r="H163" s="19" t="str">
        <x:v>stage</x:v>
      </x:c>
      <x:c r="I163" s="19" t="str">
        <x:v>更新UI=12</x:v>
      </x:c>
      <x:c r="J163" s="19" t="str"/>
      <x:c r="K163" s="19" t="str"/>
      <x:c r="L163" s="19" t="str"/>
      <x:c r="M163" s="19" t="str">
        <x:v>candidate:layered/L3_group/step_12_homing_standby.group.json</x:v>
      </x:c>
    </x:row>
    <x:row r="164" ht="34.5" customHeight="1">
      <x:c r="A164" s="15" t="str">
        <x:v>orange_small</x:v>
      </x:c>
      <x:c r="B164" s="17" t="n">
        <x:v>12</x:v>
      </x:c>
      <x:c r="C164" s="17" t="n">
        <x:v>2</x:v>
      </x:c>
      <x:c r="D164" s="15" t="str">
        <x:v>legacy</x:v>
      </x:c>
      <x:c r="E164" s="15" t="str">
        <x:v>每配方一次</x:v>
      </x:c>
      <x:c r="F164" s="15" t="str">
        <x:v>OrangeFill</x:v>
      </x:c>
      <x:c r="G164" s="15" t="str"/>
      <x:c r="H164" s="15" t="str">
        <x:v>05 00 00 00 00</x:v>
      </x:c>
      <x:c r="I164" s="15" t="str">
        <x:v>Write OrangeFill register 0000</x:v>
      </x:c>
      <x:c r="J164" s="15" t="str"/>
      <x:c r="K164" s="15" t="str">
        <x:v>响应回显=05 00 00 00 00</x:v>
      </x:c>
      <x:c r="L164" s="15" t="str"/>
      <x:c r="M164" s="15" t="str">
        <x:v>candidate:layered/L3_group/step_12_homing_standby.group.json</x:v>
      </x:c>
    </x:row>
    <x:row r="165" ht="34.5" customHeight="1">
      <x:c r="A165" s="19" t="str">
        <x:v>orange_small</x:v>
      </x:c>
      <x:c r="B165" s="18" t="n">
        <x:v>12</x:v>
      </x:c>
      <x:c r="C165" s="18" t="n">
        <x:v>3</x:v>
      </x:c>
      <x:c r="D165" s="19" t="str">
        <x:v>legacy</x:v>
      </x:c>
      <x:c r="E165" s="19" t="str">
        <x:v>每配方一次</x:v>
      </x:c>
      <x:c r="F165" s="19" t="str">
        <x:v>AppleFill</x:v>
      </x:c>
      <x:c r="G165" s="19" t="str"/>
      <x:c r="H165" s="19" t="str">
        <x:v>05 00 00 00 00</x:v>
      </x:c>
      <x:c r="I165" s="19" t="str">
        <x:v>Write AppleFill register 0000</x:v>
      </x:c>
      <x:c r="J165" s="19" t="str"/>
      <x:c r="K165" s="19" t="str">
        <x:v>响应回显=05 00 00 00 00</x:v>
      </x:c>
      <x:c r="L165" s="19" t="str"/>
      <x:c r="M165" s="19" t="str">
        <x:v>candidate:layered/L3_group/step_12_homing_standby.group.json</x:v>
      </x:c>
    </x:row>
    <x:row r="166" ht="34.5" customHeight="1">
      <x:c r="A166" s="15" t="str">
        <x:v>orange_small</x:v>
      </x:c>
      <x:c r="B166" s="17" t="n">
        <x:v>12</x:v>
      </x:c>
      <x:c r="C166" s="17" t="n">
        <x:v>4</x:v>
      </x:c>
      <x:c r="D166" s="15" t="str">
        <x:v>legacy</x:v>
      </x:c>
      <x:c r="E166" s="15" t="str">
        <x:v>每配方一次</x:v>
      </x:c>
      <x:c r="F166" s="15" t="str">
        <x:v>GrapeFill</x:v>
      </x:c>
      <x:c r="G166" s="15" t="str"/>
      <x:c r="H166" s="15" t="str">
        <x:v>05 00 00 00 00</x:v>
      </x:c>
      <x:c r="I166" s="15" t="str">
        <x:v>Write GrapeFill register 0000</x:v>
      </x:c>
      <x:c r="J166" s="15" t="str"/>
      <x:c r="K166" s="15" t="str">
        <x:v>响应回显=05 00 00 00 00</x:v>
      </x:c>
      <x:c r="L166" s="15" t="str"/>
      <x:c r="M166" s="15" t="str">
        <x:v>candidate:layered/L3_group/step_12_homing_standby.group.json</x:v>
      </x:c>
    </x:row>
    <x:row r="167" ht="34.5" customHeight="1">
      <x:c r="A167" s="19" t="str">
        <x:v>orange_small</x:v>
      </x:c>
      <x:c r="B167" s="18" t="n">
        <x:v>12</x:v>
      </x:c>
      <x:c r="C167" s="18" t="n">
        <x:v>5</x:v>
      </x:c>
      <x:c r="D167" s="19" t="str">
        <x:v>legacy</x:v>
      </x:c>
      <x:c r="E167" s="19" t="str">
        <x:v>每配方一次</x:v>
      </x:c>
      <x:c r="F167" s="19" t="str">
        <x:v>Gripper</x:v>
      </x:c>
      <x:c r="G167" s="19" t="str"/>
      <x:c r="H167" s="19" t="str">
        <x:v>05 00 00 00 00</x:v>
      </x:c>
      <x:c r="I167" s="19" t="str">
        <x:v>Write Gripper register 0000</x:v>
      </x:c>
      <x:c r="J167" s="19" t="str"/>
      <x:c r="K167" s="19" t="str">
        <x:v>响应回显=05 00 00 00 00</x:v>
      </x:c>
      <x:c r="L167" s="19" t="str"/>
      <x:c r="M167" s="19" t="str">
        <x:v>candidate:layered/L3_group/step_12_homing_standby.group.json</x:v>
      </x:c>
    </x:row>
    <x:row r="168" ht="34.5" customHeight="1">
      <x:c r="A168" s="15" t="str">
        <x:v>orange_small</x:v>
      </x:c>
      <x:c r="B168" s="17" t="n">
        <x:v>12</x:v>
      </x:c>
      <x:c r="C168" s="17" t="n">
        <x:v>6</x:v>
      </x:c>
      <x:c r="D168" s="15" t="str">
        <x:v>legacy</x:v>
      </x:c>
      <x:c r="E168" s="15" t="str">
        <x:v>每配方一次</x:v>
      </x:c>
      <x:c r="F168" s="15" t="str">
        <x:v>CapFeeder</x:v>
      </x:c>
      <x:c r="G168" s="15" t="str"/>
      <x:c r="H168" s="15" t="str">
        <x:v>05 00 00 00 00</x:v>
      </x:c>
      <x:c r="I168" s="15" t="str">
        <x:v>Write CapFeeder register 0000</x:v>
      </x:c>
      <x:c r="J168" s="15" t="str"/>
      <x:c r="K168" s="15" t="str">
        <x:v>响应回显=05 00 00 00 00</x:v>
      </x:c>
      <x:c r="L168" s="15" t="str"/>
      <x:c r="M168" s="15" t="str">
        <x:v>candidate:layered/L3_group/step_12_homing_standby.group.json</x:v>
      </x:c>
    </x:row>
    <x:row r="169" ht="34.5" customHeight="1">
      <x:c r="A169" s="19" t="str">
        <x:v>orange_small</x:v>
      </x:c>
      <x:c r="B169" s="18" t="n">
        <x:v>12</x:v>
      </x:c>
      <x:c r="C169" s="18" t="n">
        <x:v>7</x:v>
      </x:c>
      <x:c r="D169" s="19" t="str">
        <x:v>legacy</x:v>
      </x:c>
      <x:c r="E169" s="19" t="str">
        <x:v>每配方一次</x:v>
      </x:c>
      <x:c r="F169" s="19" t="str">
        <x:v>RinseValve</x:v>
      </x:c>
      <x:c r="G169" s="19" t="str"/>
      <x:c r="H169" s="19" t="str">
        <x:v>05 00 12 00 00</x:v>
      </x:c>
      <x:c r="I169" s="19" t="str">
        <x:v>Write RinseValve register 0012</x:v>
      </x:c>
      <x:c r="J169" s="19" t="str"/>
      <x:c r="K169" s="19" t="str">
        <x:v>响应回显=05 00 12 00 00</x:v>
      </x:c>
      <x:c r="L169" s="19" t="str"/>
      <x:c r="M169" s="19" t="str">
        <x:v>candidate:layered/L3_group/step_12_homing_standby.group.json</x:v>
      </x:c>
    </x:row>
    <x:row r="170" ht="34.5" customHeight="1">
      <x:c r="A170" s="15" t="str">
        <x:v>orange_small</x:v>
      </x:c>
      <x:c r="B170" s="17" t="n">
        <x:v>12</x:v>
      </x:c>
      <x:c r="C170" s="17" t="n">
        <x:v>8</x:v>
      </x:c>
      <x:c r="D170" s="15" t="str">
        <x:v>legacy</x:v>
      </x:c>
      <x:c r="E170" s="15" t="str">
        <x:v>每配方一次</x:v>
      </x:c>
      <x:c r="F170" s="15" t="str">
        <x:v>CIPValve</x:v>
      </x:c>
      <x:c r="G170" s="15" t="str"/>
      <x:c r="H170" s="15" t="str">
        <x:v>05 00 13 00 00</x:v>
      </x:c>
      <x:c r="I170" s="15" t="str">
        <x:v>Write CIPValve register 0013</x:v>
      </x:c>
      <x:c r="J170" s="15" t="str"/>
      <x:c r="K170" s="15" t="str">
        <x:v>响应回显=05 00 13 00 00</x:v>
      </x:c>
      <x:c r="L170" s="15" t="str"/>
      <x:c r="M170" s="15" t="str">
        <x:v>candidate:layered/L3_group/step_12_homing_standby.group.json</x:v>
      </x:c>
    </x:row>
    <x:row r="171" ht="34.5" customHeight="1">
      <x:c r="A171" s="19" t="str">
        <x:v>orange_small</x:v>
      </x:c>
      <x:c r="B171" s="18" t="n">
        <x:v>12</x:v>
      </x:c>
      <x:c r="C171" s="18" t="n">
        <x:v>9</x:v>
      </x:c>
      <x:c r="D171" s="19" t="str">
        <x:v>legacy</x:v>
      </x:c>
      <x:c r="E171" s="19" t="str">
        <x:v>每配方一次</x:v>
      </x:c>
      <x:c r="F171" s="19" t="str">
        <x:v>CIPValve</x:v>
      </x:c>
      <x:c r="G171" s="19" t="str"/>
      <x:c r="H171" s="19" t="str">
        <x:v>05 00 14 00 00</x:v>
      </x:c>
      <x:c r="I171" s="19" t="str">
        <x:v>Write CIPValve register 0014</x:v>
      </x:c>
      <x:c r="J171" s="19" t="str"/>
      <x:c r="K171" s="19" t="str">
        <x:v>响应回显=05 00 14 00 00</x:v>
      </x:c>
      <x:c r="L171" s="19" t="str"/>
      <x:c r="M171" s="19" t="str">
        <x:v>candidate:layered/L3_group/step_12_homing_standby.group.json</x:v>
      </x:c>
    </x:row>
    <x:row r="172" ht="34.5" customHeight="1">
      <x:c r="A172" s="15" t="str">
        <x:v>orange_small</x:v>
      </x:c>
      <x:c r="B172" s="17" t="n">
        <x:v>12</x:v>
      </x:c>
      <x:c r="C172" s="17" t="n">
        <x:v>10</x:v>
      </x:c>
      <x:c r="D172" s="15" t="str">
        <x:v>legacy</x:v>
      </x:c>
      <x:c r="E172" s="15" t="str">
        <x:v>每配方一次</x:v>
      </x:c>
      <x:c r="F172" s="15" t="str">
        <x:v>Relay</x:v>
      </x:c>
      <x:c r="G172" s="15" t="str"/>
      <x:c r="H172" s="15" t="str">
        <x:v>05 00 08 00 00</x:v>
      </x:c>
      <x:c r="I172" s="15" t="str">
        <x:v>Write Relay register 0008</x:v>
      </x:c>
      <x:c r="J172" s="15" t="str"/>
      <x:c r="K172" s="15" t="str">
        <x:v>响应回显=05 00 08 00 00</x:v>
      </x:c>
      <x:c r="L172" s="15" t="str"/>
      <x:c r="M172" s="15" t="str">
        <x:v>candidate:layered/L3_group/step_12_homing_standby.group.json</x:v>
      </x:c>
    </x:row>
    <x:row r="173" ht="34.5" customHeight="1">
      <x:c r="A173" s="19" t="str">
        <x:v>orange_small</x:v>
      </x:c>
      <x:c r="B173" s="18" t="n">
        <x:v>12</x:v>
      </x:c>
      <x:c r="C173" s="18" t="n">
        <x:v>11</x:v>
      </x:c>
      <x:c r="D173" s="19" t="str">
        <x:v>legacy</x:v>
      </x:c>
      <x:c r="E173" s="19" t="str">
        <x:v>每配方一次</x:v>
      </x:c>
      <x:c r="F173" s="19" t="str">
        <x:v>Relay</x:v>
      </x:c>
      <x:c r="G173" s="19" t="str"/>
      <x:c r="H173" s="19" t="str">
        <x:v>05 00 09 00 00</x:v>
      </x:c>
      <x:c r="I173" s="19" t="str">
        <x:v>Write Relay register 0009</x:v>
      </x:c>
      <x:c r="J173" s="19" t="str"/>
      <x:c r="K173" s="19" t="str">
        <x:v>响应回显=05 00 09 00 00</x:v>
      </x:c>
      <x:c r="L173" s="19" t="str"/>
      <x:c r="M173" s="19" t="str">
        <x:v>candidate:layered/L3_group/step_12_homing_standby.group.json</x:v>
      </x:c>
    </x:row>
    <x:row r="174" ht="34.5" customHeight="1">
      <x:c r="A174" s="15" t="str">
        <x:v>orange_small</x:v>
      </x:c>
      <x:c r="B174" s="17" t="n">
        <x:v>12</x:v>
      </x:c>
      <x:c r="C174" s="17" t="n">
        <x:v>12</x:v>
      </x:c>
      <x:c r="D174" s="15" t="str">
        <x:v>legacy</x:v>
      </x:c>
      <x:c r="E174" s="15" t="str">
        <x:v>每配方一次</x:v>
      </x:c>
      <x:c r="F174" s="15" t="str">
        <x:v>Relay</x:v>
      </x:c>
      <x:c r="G174" s="15" t="str"/>
      <x:c r="H174" s="15" t="str">
        <x:v>05 00 0A 00 00</x:v>
      </x:c>
      <x:c r="I174" s="15" t="str">
        <x:v>Write Relay register 000A</x:v>
      </x:c>
      <x:c r="J174" s="15" t="str"/>
      <x:c r="K174" s="15" t="str">
        <x:v>响应回显=05 00 0A 00 00</x:v>
      </x:c>
      <x:c r="L174" s="15" t="str"/>
      <x:c r="M174" s="15" t="str">
        <x:v>candidate:layered/L3_group/step_12_homing_standby.group.json</x:v>
      </x:c>
    </x:row>
    <x:row r="175" ht="34.5" customHeight="1">
      <x:c r="A175" s="19" t="str">
        <x:v>orange_small</x:v>
      </x:c>
      <x:c r="B175" s="18" t="n">
        <x:v>12</x:v>
      </x:c>
      <x:c r="C175" s="18" t="n">
        <x:v>13</x:v>
      </x:c>
      <x:c r="D175" s="19" t="str">
        <x:v>legacy</x:v>
      </x:c>
      <x:c r="E175" s="19" t="str">
        <x:v>每配方一次</x:v>
      </x:c>
      <x:c r="F175" s="19" t="str">
        <x:v>Relay</x:v>
      </x:c>
      <x:c r="G175" s="19" t="str"/>
      <x:c r="H175" s="19" t="str">
        <x:v>05 00 0B 00 00</x:v>
      </x:c>
      <x:c r="I175" s="19" t="str">
        <x:v>Write Relay register 000B</x:v>
      </x:c>
      <x:c r="J175" s="19" t="str"/>
      <x:c r="K175" s="19" t="str">
        <x:v>响应回显=05 00 0B 00 00</x:v>
      </x:c>
      <x:c r="L175" s="19" t="str"/>
      <x:c r="M175" s="19" t="str">
        <x:v>candidate:layered/L3_group/step_12_homing_standby.group.json</x:v>
      </x:c>
    </x:row>
    <x:row r="176" ht="34.5" customHeight="1">
      <x:c r="A176" s="15" t="str">
        <x:v>orange_small</x:v>
      </x:c>
      <x:c r="B176" s="17" t="n">
        <x:v>12</x:v>
      </x:c>
      <x:c r="C176" s="17" t="n">
        <x:v>14</x:v>
      </x:c>
      <x:c r="D176" s="15" t="str">
        <x:v>legacy</x:v>
      </x:c>
      <x:c r="E176" s="15" t="str">
        <x:v>每配方一次</x:v>
      </x:c>
      <x:c r="F176" s="15" t="str">
        <x:v>Relay</x:v>
      </x:c>
      <x:c r="G176" s="15" t="str"/>
      <x:c r="H176" s="15" t="str">
        <x:v>05 00 0C 00 00</x:v>
      </x:c>
      <x:c r="I176" s="15" t="str">
        <x:v>Write Relay register 000C</x:v>
      </x:c>
      <x:c r="J176" s="15" t="str"/>
      <x:c r="K176" s="15" t="str">
        <x:v>响应回显=05 00 0C 00 00</x:v>
      </x:c>
      <x:c r="L176" s="15" t="str"/>
      <x:c r="M176" s="15" t="str">
        <x:v>candidate:layered/L3_group/step_12_homing_standby.group.json</x:v>
      </x:c>
    </x:row>
    <x:row r="177" ht="34.5" customHeight="1">
      <x:c r="A177" s="19" t="str">
        <x:v>orange_small</x:v>
      </x:c>
      <x:c r="B177" s="18" t="n">
        <x:v>12</x:v>
      </x:c>
      <x:c r="C177" s="18" t="n">
        <x:v>15</x:v>
      </x:c>
      <x:c r="D177" s="19" t="str">
        <x:v>legacy</x:v>
      </x:c>
      <x:c r="E177" s="19" t="str">
        <x:v>每配方一次</x:v>
      </x:c>
      <x:c r="F177" s="19" t="str">
        <x:v>Relay</x:v>
      </x:c>
      <x:c r="G177" s="19" t="str"/>
      <x:c r="H177" s="19" t="str">
        <x:v>05 00 0D 00 00</x:v>
      </x:c>
      <x:c r="I177" s="19" t="str">
        <x:v>Write Relay register 000D</x:v>
      </x:c>
      <x:c r="J177" s="19" t="str"/>
      <x:c r="K177" s="19" t="str">
        <x:v>响应回显=05 00 0D 00 00</x:v>
      </x:c>
      <x:c r="L177" s="19" t="str"/>
      <x:c r="M177" s="19" t="str">
        <x:v>candidate:layered/L3_group/step_12_homing_standby.group.json</x:v>
      </x:c>
    </x:row>
    <x:row r="178" ht="34.5" customHeight="1">
      <x:c r="A178" s="15" t="str">
        <x:v>orange_small</x:v>
      </x:c>
      <x:c r="B178" s="17" t="n">
        <x:v>12</x:v>
      </x:c>
      <x:c r="C178" s="17" t="n">
        <x:v>16</x:v>
      </x:c>
      <x:c r="D178" s="15" t="str">
        <x:v>legacy</x:v>
      </x:c>
      <x:c r="E178" s="15" t="str">
        <x:v>每配方一次</x:v>
      </x:c>
      <x:c r="F178" s="15" t="str">
        <x:v>Relay</x:v>
      </x:c>
      <x:c r="G178" s="15" t="str"/>
      <x:c r="H178" s="15" t="str">
        <x:v>05 00 0E 00 00</x:v>
      </x:c>
      <x:c r="I178" s="15" t="str">
        <x:v>Write Relay register 000E</x:v>
      </x:c>
      <x:c r="J178" s="15" t="str"/>
      <x:c r="K178" s="15" t="str">
        <x:v>响应回显=05 00 0E 00 00</x:v>
      </x:c>
      <x:c r="L178" s="15" t="str"/>
      <x:c r="M178" s="15" t="str">
        <x:v>candidate:layered/L3_group/step_12_homing_standby.group.json</x:v>
      </x:c>
    </x:row>
    <x:row r="179" ht="34.5" customHeight="1">
      <x:c r="A179" s="19" t="str">
        <x:v>orange_small</x:v>
      </x:c>
      <x:c r="B179" s="18" t="n">
        <x:v>12</x:v>
      </x:c>
      <x:c r="C179" s="18" t="n">
        <x:v>17</x:v>
      </x:c>
      <x:c r="D179" s="19" t="str">
        <x:v>trigger</x:v>
      </x:c>
      <x:c r="E179" s="19" t="str">
        <x:v>每配方一次</x:v>
      </x:c>
      <x:c r="F179" s="19" t="str">
        <x:v>X</x:v>
      </x:c>
      <x:c r="G179" s="19" t="str"/>
      <x:c r="H179" s="19" t="str">
        <x:v>FC06 0x6002=16</x:v>
      </x:c>
      <x:c r="I179" s="19" t="str">
        <x:v>触发预设PR0</x:v>
      </x:c>
      <x:c r="J179" s="19" t="str"/>
      <x:c r="K179" s="19" t="str">
        <x:v>写入响应回显</x:v>
      </x:c>
      <x:c r="L179" s="19" t="str"/>
      <x:c r="M179" s="19" t="str">
        <x:v>candidate:layered/L3_group/step_12_homing_standby.group.json</x:v>
      </x:c>
    </x:row>
    <x:row r="180" ht="34.5" customHeight="1">
      <x:c r="A180" s="15" t="str">
        <x:v>orange_small</x:v>
      </x:c>
      <x:c r="B180" s="17" t="n">
        <x:v>12</x:v>
      </x:c>
      <x:c r="C180" s="17" t="n">
        <x:v>18</x:v>
      </x:c>
      <x:c r="D180" s="15" t="str">
        <x:v>trigger</x:v>
      </x:c>
      <x:c r="E180" s="15" t="str">
        <x:v>每配方一次</x:v>
      </x:c>
      <x:c r="F180" s="15" t="str">
        <x:v>Y1</x:v>
      </x:c>
      <x:c r="G180" s="15" t="str"/>
      <x:c r="H180" s="15" t="str">
        <x:v>FC06 0x6002=16</x:v>
      </x:c>
      <x:c r="I180" s="15" t="str">
        <x:v>触发预设PR0</x:v>
      </x:c>
      <x:c r="J180" s="15" t="str"/>
      <x:c r="K180" s="15" t="str">
        <x:v>写入响应回显</x:v>
      </x:c>
      <x:c r="L180" s="15" t="str"/>
      <x:c r="M180" s="15" t="str">
        <x:v>candidate:layered/L3_group/step_12_homing_standby.group.json</x:v>
      </x:c>
    </x:row>
    <x:row r="181" ht="34.5" customHeight="1">
      <x:c r="A181" s="19" t="str">
        <x:v>orange_small</x:v>
      </x:c>
      <x:c r="B181" s="18" t="n">
        <x:v>12</x:v>
      </x:c>
      <x:c r="C181" s="18" t="n">
        <x:v>19</x:v>
      </x:c>
      <x:c r="D181" s="19" t="str">
        <x:v>trigger</x:v>
      </x:c>
      <x:c r="E181" s="19" t="str">
        <x:v>每配方一次</x:v>
      </x:c>
      <x:c r="F181" s="19" t="str">
        <x:v>Y2</x:v>
      </x:c>
      <x:c r="G181" s="19" t="str"/>
      <x:c r="H181" s="19" t="str">
        <x:v>FC06 0x6002=16</x:v>
      </x:c>
      <x:c r="I181" s="19" t="str">
        <x:v>触发预设PR0</x:v>
      </x:c>
      <x:c r="J181" s="19" t="str"/>
      <x:c r="K181" s="19" t="str">
        <x:v>写入响应回显</x:v>
      </x:c>
      <x:c r="L181" s="19" t="str"/>
      <x:c r="M181" s="19" t="str">
        <x:v>candidate:layered/L3_group/step_12_homing_standby.group.json</x:v>
      </x:c>
    </x:row>
    <x:row r="182" ht="34.5" customHeight="1">
      <x:c r="A182" s="15" t="str">
        <x:v>orange_small</x:v>
      </x:c>
      <x:c r="B182" s="17" t="n">
        <x:v>12</x:v>
      </x:c>
      <x:c r="C182" s="17" t="n">
        <x:v>20</x:v>
      </x:c>
      <x:c r="D182" s="15" t="str">
        <x:v>trigger</x:v>
      </x:c>
      <x:c r="E182" s="15" t="str">
        <x:v>每配方一次</x:v>
      </x:c>
      <x:c r="F182" s="15" t="str">
        <x:v>Z</x:v>
      </x:c>
      <x:c r="G182" s="15" t="str"/>
      <x:c r="H182" s="15" t="str">
        <x:v>FC06 0x6002=16</x:v>
      </x:c>
      <x:c r="I182" s="15" t="str">
        <x:v>触发预设PR0</x:v>
      </x:c>
      <x:c r="J182" s="15" t="str"/>
      <x:c r="K182" s="15" t="str">
        <x:v>写入响应回显</x:v>
      </x:c>
      <x:c r="L182" s="15" t="str"/>
      <x:c r="M182" s="15" t="str">
        <x:v>candidate:layered/L3_group/step_12_homing_standby.group.json</x:v>
      </x:c>
    </x:row>
    <x:row r="183" ht="34.5" customHeight="1">
      <x:c r="A183" s="19" t="str">
        <x:v>orange_small</x:v>
      </x:c>
      <x:c r="B183" s="18" t="n">
        <x:v>12</x:v>
      </x:c>
      <x:c r="C183" s="18" t="n">
        <x:v>21</x:v>
      </x:c>
      <x:c r="D183" s="19" t="str">
        <x:v>ready</x:v>
      </x:c>
      <x:c r="E183" s="19" t="str">
        <x:v>每配方一次</x:v>
      </x:c>
      <x:c r="F183" s="19" t="str">
        <x:v>X</x:v>
      </x:c>
      <x:c r="G183" s="19" t="str"/>
      <x:c r="H183" s="19" t="str">
        <x:v>FC04 0x0000</x:v>
      </x:c>
      <x:c r="I183" s="19" t="str">
        <x:v>等待设备完成</x:v>
      </x:c>
      <x:c r="J183" s="19" t="str">
        <x:v>每20ms；截止4000ms</x:v>
      </x:c>
      <x:c r="K183" s="19" t="str">
        <x:v>04 02 00 01</x:v>
      </x:c>
      <x:c r="L183" s="19" t="str">
        <x:v>HOME_TIMEOUT</x:v>
      </x:c>
      <x:c r="M183" s="19" t="str">
        <x:v>candidate:layered/L3_group/step_12_homing_standby.group.json</x:v>
      </x:c>
    </x:row>
    <x:row r="184" ht="34.5" customHeight="1">
      <x:c r="A184" s="15" t="str">
        <x:v>orange_small</x:v>
      </x:c>
      <x:c r="B184" s="17" t="n">
        <x:v>12</x:v>
      </x:c>
      <x:c r="C184" s="17" t="n">
        <x:v>22</x:v>
      </x:c>
      <x:c r="D184" s="15" t="str">
        <x:v>ready</x:v>
      </x:c>
      <x:c r="E184" s="15" t="str">
        <x:v>每配方一次</x:v>
      </x:c>
      <x:c r="F184" s="15" t="str">
        <x:v>Y1</x:v>
      </x:c>
      <x:c r="G184" s="15" t="str"/>
      <x:c r="H184" s="15" t="str">
        <x:v>FC04 0x0000</x:v>
      </x:c>
      <x:c r="I184" s="15" t="str">
        <x:v>等待设备完成</x:v>
      </x:c>
      <x:c r="J184" s="15" t="str">
        <x:v>每20ms；截止4000ms</x:v>
      </x:c>
      <x:c r="K184" s="15" t="str">
        <x:v>04 02 00 01</x:v>
      </x:c>
      <x:c r="L184" s="15" t="str">
        <x:v>HOME_TIMEOUT</x:v>
      </x:c>
      <x:c r="M184" s="15" t="str">
        <x:v>candidate:layered/L3_group/step_12_homing_standby.group.json</x:v>
      </x:c>
    </x:row>
    <x:row r="185" ht="34.5" customHeight="1">
      <x:c r="A185" s="19" t="str">
        <x:v>orange_small</x:v>
      </x:c>
      <x:c r="B185" s="18" t="n">
        <x:v>12</x:v>
      </x:c>
      <x:c r="C185" s="18" t="n">
        <x:v>23</x:v>
      </x:c>
      <x:c r="D185" s="19" t="str">
        <x:v>ready</x:v>
      </x:c>
      <x:c r="E185" s="19" t="str">
        <x:v>每配方一次</x:v>
      </x:c>
      <x:c r="F185" s="19" t="str">
        <x:v>Y2</x:v>
      </x:c>
      <x:c r="G185" s="19" t="str"/>
      <x:c r="H185" s="19" t="str">
        <x:v>FC04 0x0000</x:v>
      </x:c>
      <x:c r="I185" s="19" t="str">
        <x:v>等待设备完成</x:v>
      </x:c>
      <x:c r="J185" s="19" t="str">
        <x:v>每20ms；截止4000ms</x:v>
      </x:c>
      <x:c r="K185" s="19" t="str">
        <x:v>04 02 00 01</x:v>
      </x:c>
      <x:c r="L185" s="19" t="str">
        <x:v>HOME_TIMEOUT</x:v>
      </x:c>
      <x:c r="M185" s="19" t="str">
        <x:v>candidate:layered/L3_group/step_12_homing_standby.group.json</x:v>
      </x:c>
    </x:row>
    <x:row r="186" ht="34.5" customHeight="1">
      <x:c r="A186" s="15" t="str">
        <x:v>orange_small</x:v>
      </x:c>
      <x:c r="B186" s="17" t="n">
        <x:v>12</x:v>
      </x:c>
      <x:c r="C186" s="17" t="n">
        <x:v>24</x:v>
      </x:c>
      <x:c r="D186" s="15" t="str">
        <x:v>ready</x:v>
      </x:c>
      <x:c r="E186" s="15" t="str">
        <x:v>每配方一次</x:v>
      </x:c>
      <x:c r="F186" s="15" t="str">
        <x:v>Z</x:v>
      </x:c>
      <x:c r="G186" s="15" t="str"/>
      <x:c r="H186" s="15" t="str">
        <x:v>FC04 0x0000</x:v>
      </x:c>
      <x:c r="I186" s="15" t="str">
        <x:v>等待设备完成</x:v>
      </x:c>
      <x:c r="J186" s="15" t="str">
        <x:v>每20ms；截止4000ms</x:v>
      </x:c>
      <x:c r="K186" s="15" t="str">
        <x:v>04 02 00 01</x:v>
      </x:c>
      <x:c r="L186" s="15" t="str">
        <x:v>HOME_TIMEOUT</x:v>
      </x:c>
      <x:c r="M186" s="15" t="str">
        <x:v>candidate:layered/L3_group/step_12_homing_standby.group.json</x:v>
      </x:c>
    </x:row>
    <x:row r="187" ht="34.5" customHeight="1">
      <x:c r="A187" s="19" t="str">
        <x:v>orange_small</x:v>
      </x:c>
      <x:c r="B187" s="18" t="n">
        <x:v>12</x:v>
      </x:c>
      <x:c r="C187" s="18" t="n">
        <x:v>25</x:v>
      </x:c>
      <x:c r="D187" s="19" t="str">
        <x:v>legacy</x:v>
      </x:c>
      <x:c r="E187" s="19" t="str">
        <x:v>每配方一次</x:v>
      </x:c>
      <x:c r="F187" s="19" t="str"/>
      <x:c r="G187" s="19" t="str"/>
      <x:c r="H187" s="19" t="str">
        <x:v>last_x_pr</x:v>
      </x:c>
      <x:c r="I187" s="19" t="str">
        <x:v>设置变量=0</x:v>
      </x:c>
      <x:c r="J187" s="19" t="str"/>
      <x:c r="K187" s="19" t="str"/>
      <x:c r="L187" s="19" t="str"/>
      <x:c r="M187" s="19" t="str">
        <x:v>candidate:layered/L3_group/step_12_homing_standby.group.json</x:v>
      </x:c>
    </x:row>
    <x:row r="188" ht="34.5" customHeight="1">
      <x:c r="A188" s="15" t="str">
        <x:v>orange_small</x:v>
      </x:c>
      <x:c r="B188" s="17" t="n">
        <x:v>12</x:v>
      </x:c>
      <x:c r="C188" s="17" t="n">
        <x:v>26</x:v>
      </x:c>
      <x:c r="D188" s="15" t="str">
        <x:v>legacy</x:v>
      </x:c>
      <x:c r="E188" s="15" t="str">
        <x:v>每配方一次</x:v>
      </x:c>
      <x:c r="F188" s="15" t="str"/>
      <x:c r="G188" s="15" t="str"/>
      <x:c r="H188" s="15" t="str">
        <x:v>last_y_pr</x:v>
      </x:c>
      <x:c r="I188" s="15" t="str">
        <x:v>设置变量=0</x:v>
      </x:c>
      <x:c r="J188" s="15" t="str"/>
      <x:c r="K188" s="15" t="str"/>
      <x:c r="L188" s="15" t="str"/>
      <x:c r="M188" s="15" t="str">
        <x:v>candidate:layered/L3_group/step_12_homing_standby.group.json</x:v>
      </x:c>
    </x:row>
    <x:row r="189" ht="34.5" customHeight="1">
      <x:c r="A189" s="19" t="str">
        <x:v>orange_small</x:v>
      </x:c>
      <x:c r="B189" s="18" t="n">
        <x:v>12</x:v>
      </x:c>
      <x:c r="C189" s="18" t="n">
        <x:v>27</x:v>
      </x:c>
      <x:c r="D189" s="19" t="str">
        <x:v>legacy</x:v>
      </x:c>
      <x:c r="E189" s="19" t="str">
        <x:v>每配方一次</x:v>
      </x:c>
      <x:c r="F189" s="19" t="str"/>
      <x:c r="G189" s="19" t="str"/>
      <x:c r="H189" s="19" t="str">
        <x:v>last_z_pr</x:v>
      </x:c>
      <x:c r="I189" s="19" t="str">
        <x:v>设置变量=0</x:v>
      </x:c>
      <x:c r="J189" s="19" t="str"/>
      <x:c r="K189" s="19" t="str"/>
      <x:c r="L189" s="19" t="str"/>
      <x:c r="M189" s="19" t="str">
        <x:v>candidate:layered/L3_group/step_12_homing_standby.group.json</x:v>
      </x:c>
    </x:row>
    <x:row r="190" ht="34.5" customHeight="1">
      <x:c r="A190" s="15" t="str">
        <x:v>orange_small</x:v>
      </x:c>
      <x:c r="B190" s="17" t="n">
        <x:v>12</x:v>
      </x:c>
      <x:c r="C190" s="17" t="n">
        <x:v>28</x:v>
      </x:c>
      <x:c r="D190" s="15" t="str">
        <x:v>refresh</x:v>
      </x:c>
      <x:c r="E190" s="15" t="str">
        <x:v>每配方一次</x:v>
      </x:c>
      <x:c r="F190" s="15" t="str">
        <x:v>X / Y1 / Y2 / Z</x:v>
      </x:c>
      <x:c r="G190" s="15" t="str"/>
      <x:c r="H190" s="15" t="str">
        <x:v>FC03 0x602C, 2 registers</x:v>
      </x:c>
      <x:c r="I190" s="15" t="str">
        <x:v>缓存四电机坐标；更新centerX/centerY/centerZ（centerY=Y1）</x:v>
      </x:c>
      <x:c r="J190" s="15" t="str"/>
      <x:c r="K190" s="15" t="str"/>
      <x:c r="L190" s="15" t="str"/>
      <x:c r="M190" s="15" t="str">
        <x:v>candidate:layered/L3_group/step_12_homing_standby.group.json</x:v>
      </x:c>
    </x:row>
    <x:row r="191" ht="34.5" customHeight="1">
      <x:c r="A191" s="19" t="str">
        <x:v>orange_small</x:v>
      </x:c>
      <x:c r="B191" s="18" t="n">
        <x:v>12</x:v>
      </x:c>
      <x:c r="C191" s="18" t="n">
        <x:v>29</x:v>
      </x:c>
      <x:c r="D191" s="19" t="str">
        <x:v>legacy</x:v>
      </x:c>
      <x:c r="E191" s="19" t="str">
        <x:v>每配方一次</x:v>
      </x:c>
      <x:c r="F191" s="19" t="str">
        <x:v>X</x:v>
      </x:c>
      <x:c r="G191" s="19" t="str"/>
      <x:c r="H191" s="19" t="str">
        <x:v>03 22 03 00 01；解码={"valueStartByte":2,"valueLength":2,"valueEndian":"big","valueType":"int"}</x:v>
      </x:c>
      <x:c r="I191" s="19" t="str">
        <x:v>X alarm self-check</x:v>
      </x:c>
      <x:c r="J191" s="19" t="str"/>
      <x:c r="K191" s="19" t="str">
        <x:v>equal 0</x:v>
      </x:c>
      <x:c r="L191" s="19" t="str">
        <x:v>X_ALARM</x:v>
      </x:c>
      <x:c r="M191" s="19" t="str">
        <x:v>candidate:layered/L3_group/step_12_homing_standby.group.json</x:v>
      </x:c>
    </x:row>
    <x:row r="192" ht="34.5" customHeight="1">
      <x:c r="A192" s="15" t="str">
        <x:v>orange_small</x:v>
      </x:c>
      <x:c r="B192" s="17" t="n">
        <x:v>12</x:v>
      </x:c>
      <x:c r="C192" s="17" t="n">
        <x:v>30</x:v>
      </x:c>
      <x:c r="D192" s="15" t="str">
        <x:v>legacy</x:v>
      </x:c>
      <x:c r="E192" s="15" t="str">
        <x:v>每配方一次</x:v>
      </x:c>
      <x:c r="F192" s="15" t="str">
        <x:v>Y1</x:v>
      </x:c>
      <x:c r="G192" s="15" t="str"/>
      <x:c r="H192" s="15" t="str">
        <x:v>03 22 03 00 01；解码={"valueStartByte":2,"valueLength":2,"valueEndian":"big","valueType":"int"}</x:v>
      </x:c>
      <x:c r="I192" s="15" t="str">
        <x:v>Y1: Y alarm self-check</x:v>
      </x:c>
      <x:c r="J192" s="15" t="str"/>
      <x:c r="K192" s="15" t="str">
        <x:v>equal 0</x:v>
      </x:c>
      <x:c r="L192" s="15" t="str">
        <x:v>Y_ALARM</x:v>
      </x:c>
      <x:c r="M192" s="15" t="str">
        <x:v>candidate:layered/L3_group/step_12_homing_standby.group.json</x:v>
      </x:c>
    </x:row>
    <x:row r="193" ht="34.5" customHeight="1">
      <x:c r="A193" s="19" t="str">
        <x:v>orange_small</x:v>
      </x:c>
      <x:c r="B193" s="18" t="n">
        <x:v>12</x:v>
      </x:c>
      <x:c r="C193" s="18" t="n">
        <x:v>31</x:v>
      </x:c>
      <x:c r="D193" s="19" t="str">
        <x:v>legacy</x:v>
      </x:c>
      <x:c r="E193" s="19" t="str">
        <x:v>每配方一次</x:v>
      </x:c>
      <x:c r="F193" s="19" t="str">
        <x:v>Y2</x:v>
      </x:c>
      <x:c r="G193" s="19" t="str"/>
      <x:c r="H193" s="19" t="str">
        <x:v>03 22 03 00 01；解码={"valueStartByte":2,"valueLength":2,"valueEndian":"big","valueType":"int"}</x:v>
      </x:c>
      <x:c r="I193" s="19" t="str">
        <x:v>Y2: Y alarm self-check</x:v>
      </x:c>
      <x:c r="J193" s="19" t="str"/>
      <x:c r="K193" s="19" t="str">
        <x:v>equal 0</x:v>
      </x:c>
      <x:c r="L193" s="19" t="str">
        <x:v>Y_ALARM_Y2</x:v>
      </x:c>
      <x:c r="M193" s="19" t="str">
        <x:v>candidate:layered/L3_group/step_12_homing_standby.group.json</x:v>
      </x:c>
    </x:row>
    <x:row r="194" ht="34.5" customHeight="1">
      <x:c r="A194" s="15" t="str">
        <x:v>orange_small</x:v>
      </x:c>
      <x:c r="B194" s="17" t="n">
        <x:v>12</x:v>
      </x:c>
      <x:c r="C194" s="17" t="n">
        <x:v>32</x:v>
      </x:c>
      <x:c r="D194" s="15" t="str">
        <x:v>legacy</x:v>
      </x:c>
      <x:c r="E194" s="15" t="str">
        <x:v>每配方一次</x:v>
      </x:c>
      <x:c r="F194" s="15" t="str">
        <x:v>Z</x:v>
      </x:c>
      <x:c r="G194" s="15" t="str"/>
      <x:c r="H194" s="15" t="str">
        <x:v>03 22 03 00 01；解码={"valueStartByte":2,"valueLength":2,"valueEndian":"big","valueType":"int"}</x:v>
      </x:c>
      <x:c r="I194" s="15" t="str">
        <x:v>Z alarm self-check</x:v>
      </x:c>
      <x:c r="J194" s="15" t="str"/>
      <x:c r="K194" s="15" t="str">
        <x:v>equal 0</x:v>
      </x:c>
      <x:c r="L194" s="15" t="str">
        <x:v>Z_ALARM</x:v>
      </x:c>
      <x:c r="M194" s="15" t="str">
        <x:v>candidate:layered/L3_group/step_12_homing_standby.group.json</x:v>
      </x:c>
    </x:row>
    <x:row r="195" ht="34.5" customHeight="1">
      <x:c r="A195" s="19" t="str">
        <x:v>orange_small</x:v>
      </x:c>
      <x:c r="B195" s="18" t="n">
        <x:v>12</x:v>
      </x:c>
      <x:c r="C195" s="18" t="n">
        <x:v>33</x:v>
      </x:c>
      <x:c r="D195" s="19" t="str">
        <x:v>legacy</x:v>
      </x:c>
      <x:c r="E195" s="19" t="str">
        <x:v>每配方一次</x:v>
      </x:c>
      <x:c r="F195" s="19" t="str"/>
      <x:c r="G195" s="19" t="str"/>
      <x:c r="H195" s="19" t="str">
        <x:v>SystemState</x:v>
      </x:c>
      <x:c r="I195" s="19" t="str">
        <x:v>更新UI=standby</x:v>
      </x:c>
      <x:c r="J195" s="19" t="str"/>
      <x:c r="K195" s="19" t="str"/>
      <x:c r="L195" s="19" t="str"/>
      <x:c r="M195" s="19" t="str">
        <x:v>candidate:layered/L3_group/step_12_homing_standby.group.json</x:v>
      </x:c>
    </x:row>
    <x:row r="196" ht="34.5" customHeight="1">
      <x:c r="A196" s="15" t="str">
        <x:v>apple_small</x:v>
      </x:c>
      <x:c r="B196" s="17" t="n">
        <x:v>1</x:v>
      </x:c>
      <x:c r="C196" s="17" t="n">
        <x:v>1</x:v>
      </x:c>
      <x:c r="D196" s="15" t="str">
        <x:v>legacy</x:v>
      </x:c>
      <x:c r="E196" s="15" t="str">
        <x:v>每配方一次</x:v>
      </x:c>
      <x:c r="F196" s="15" t="str"/>
      <x:c r="G196" s="15" t="str"/>
      <x:c r="H196" s="15" t="str">
        <x:v>stage</x:v>
      </x:c>
      <x:c r="I196" s="15" t="str">
        <x:v>更新UI=01</x:v>
      </x:c>
      <x:c r="J196" s="15" t="str"/>
      <x:c r="K196" s="15" t="str"/>
      <x:c r="L196" s="15" t="str"/>
      <x:c r="M196" s="15" t="str">
        <x:v>candidate:layered/L3_group/step_01_system_initialization.group.json</x:v>
      </x:c>
    </x:row>
    <x:row r="197" ht="34.5" customHeight="1">
      <x:c r="A197" s="19" t="str">
        <x:v>apple_small</x:v>
      </x:c>
      <x:c r="B197" s="18" t="n">
        <x:v>1</x:v>
      </x:c>
      <x:c r="C197" s="18" t="n">
        <x:v>2</x:v>
      </x:c>
      <x:c r="D197" s="19" t="str">
        <x:v>legacy</x:v>
      </x:c>
      <x:c r="E197" s="19" t="str">
        <x:v>每配方一次</x:v>
      </x:c>
      <x:c r="F197" s="19" t="str">
        <x:v>OrangeFill</x:v>
      </x:c>
      <x:c r="G197" s="19" t="str"/>
      <x:c r="H197" s="19" t="str">
        <x:v>05 00 00 00 00</x:v>
      </x:c>
      <x:c r="I197" s="19" t="str">
        <x:v>Write OrangeFill register 0000</x:v>
      </x:c>
      <x:c r="J197" s="19" t="str"/>
      <x:c r="K197" s="19" t="str">
        <x:v>响应回显=05 00 00 00 00</x:v>
      </x:c>
      <x:c r="L197" s="19" t="str"/>
      <x:c r="M197" s="19" t="str">
        <x:v>candidate:layered/L3_group/step_01_system_initialization.group.json</x:v>
      </x:c>
    </x:row>
    <x:row r="198" ht="34.5" customHeight="1">
      <x:c r="A198" s="15" t="str">
        <x:v>apple_small</x:v>
      </x:c>
      <x:c r="B198" s="17" t="n">
        <x:v>1</x:v>
      </x:c>
      <x:c r="C198" s="17" t="n">
        <x:v>3</x:v>
      </x:c>
      <x:c r="D198" s="15" t="str">
        <x:v>legacy</x:v>
      </x:c>
      <x:c r="E198" s="15" t="str">
        <x:v>每配方一次</x:v>
      </x:c>
      <x:c r="F198" s="15" t="str">
        <x:v>AppleFill</x:v>
      </x:c>
      <x:c r="G198" s="15" t="str"/>
      <x:c r="H198" s="15" t="str">
        <x:v>05 00 00 00 00</x:v>
      </x:c>
      <x:c r="I198" s="15" t="str">
        <x:v>Write AppleFill register 0000</x:v>
      </x:c>
      <x:c r="J198" s="15" t="str"/>
      <x:c r="K198" s="15" t="str">
        <x:v>响应回显=05 00 00 00 00</x:v>
      </x:c>
      <x:c r="L198" s="15" t="str"/>
      <x:c r="M198" s="15" t="str">
        <x:v>candidate:layered/L3_group/step_01_system_initialization.group.json</x:v>
      </x:c>
    </x:row>
    <x:row r="199" ht="34.5" customHeight="1">
      <x:c r="A199" s="19" t="str">
        <x:v>apple_small</x:v>
      </x:c>
      <x:c r="B199" s="18" t="n">
        <x:v>1</x:v>
      </x:c>
      <x:c r="C199" s="18" t="n">
        <x:v>4</x:v>
      </x:c>
      <x:c r="D199" s="19" t="str">
        <x:v>legacy</x:v>
      </x:c>
      <x:c r="E199" s="19" t="str">
        <x:v>每配方一次</x:v>
      </x:c>
      <x:c r="F199" s="19" t="str">
        <x:v>GrapeFill</x:v>
      </x:c>
      <x:c r="G199" s="19" t="str"/>
      <x:c r="H199" s="19" t="str">
        <x:v>05 00 00 00 00</x:v>
      </x:c>
      <x:c r="I199" s="19" t="str">
        <x:v>Write GrapeFill register 0000</x:v>
      </x:c>
      <x:c r="J199" s="19" t="str"/>
      <x:c r="K199" s="19" t="str">
        <x:v>响应回显=05 00 00 00 00</x:v>
      </x:c>
      <x:c r="L199" s="19" t="str"/>
      <x:c r="M199" s="19" t="str">
        <x:v>candidate:layered/L3_group/step_01_system_initialization.group.json</x:v>
      </x:c>
    </x:row>
    <x:row r="200" ht="34.5" customHeight="1">
      <x:c r="A200" s="15" t="str">
        <x:v>apple_small</x:v>
      </x:c>
      <x:c r="B200" s="17" t="n">
        <x:v>1</x:v>
      </x:c>
      <x:c r="C200" s="17" t="n">
        <x:v>5</x:v>
      </x:c>
      <x:c r="D200" s="15" t="str">
        <x:v>legacy</x:v>
      </x:c>
      <x:c r="E200" s="15" t="str">
        <x:v>每配方一次</x:v>
      </x:c>
      <x:c r="F200" s="15" t="str">
        <x:v>Gripper</x:v>
      </x:c>
      <x:c r="G200" s="15" t="str"/>
      <x:c r="H200" s="15" t="str">
        <x:v>05 00 00 00 00</x:v>
      </x:c>
      <x:c r="I200" s="15" t="str">
        <x:v>Write Gripper register 0000</x:v>
      </x:c>
      <x:c r="J200" s="15" t="str"/>
      <x:c r="K200" s="15" t="str">
        <x:v>响应回显=05 00 00 00 00</x:v>
      </x:c>
      <x:c r="L200" s="15" t="str"/>
      <x:c r="M200" s="15" t="str">
        <x:v>candidate:layered/L3_group/step_01_system_initialization.group.json</x:v>
      </x:c>
    </x:row>
    <x:row r="201" ht="34.5" customHeight="1">
      <x:c r="A201" s="19" t="str">
        <x:v>apple_small</x:v>
      </x:c>
      <x:c r="B201" s="18" t="n">
        <x:v>1</x:v>
      </x:c>
      <x:c r="C201" s="18" t="n">
        <x:v>6</x:v>
      </x:c>
      <x:c r="D201" s="19" t="str">
        <x:v>legacy</x:v>
      </x:c>
      <x:c r="E201" s="19" t="str">
        <x:v>每配方一次</x:v>
      </x:c>
      <x:c r="F201" s="19" t="str">
        <x:v>CapFeeder</x:v>
      </x:c>
      <x:c r="G201" s="19" t="str"/>
      <x:c r="H201" s="19" t="str">
        <x:v>05 00 00 00 00</x:v>
      </x:c>
      <x:c r="I201" s="19" t="str">
        <x:v>Write CapFeeder register 0000</x:v>
      </x:c>
      <x:c r="J201" s="19" t="str"/>
      <x:c r="K201" s="19" t="str">
        <x:v>响应回显=05 00 00 00 00</x:v>
      </x:c>
      <x:c r="L201" s="19" t="str"/>
      <x:c r="M201" s="19" t="str">
        <x:v>candidate:layered/L3_group/step_01_system_initialization.group.json</x:v>
      </x:c>
    </x:row>
    <x:row r="202" ht="34.5" customHeight="1">
      <x:c r="A202" s="15" t="str">
        <x:v>apple_small</x:v>
      </x:c>
      <x:c r="B202" s="17" t="n">
        <x:v>1</x:v>
      </x:c>
      <x:c r="C202" s="17" t="n">
        <x:v>7</x:v>
      </x:c>
      <x:c r="D202" s="15" t="str">
        <x:v>legacy</x:v>
      </x:c>
      <x:c r="E202" s="15" t="str">
        <x:v>每配方一次</x:v>
      </x:c>
      <x:c r="F202" s="15" t="str">
        <x:v>RinseValve</x:v>
      </x:c>
      <x:c r="G202" s="15" t="str"/>
      <x:c r="H202" s="15" t="str">
        <x:v>05 00 12 00 00</x:v>
      </x:c>
      <x:c r="I202" s="15" t="str">
        <x:v>Write RinseValve register 0012</x:v>
      </x:c>
      <x:c r="J202" s="15" t="str"/>
      <x:c r="K202" s="15" t="str">
        <x:v>响应回显=05 00 12 00 00</x:v>
      </x:c>
      <x:c r="L202" s="15" t="str"/>
      <x:c r="M202" s="15" t="str">
        <x:v>candidate:layered/L3_group/step_01_system_initialization.group.json</x:v>
      </x:c>
    </x:row>
    <x:row r="203" ht="34.5" customHeight="1">
      <x:c r="A203" s="19" t="str">
        <x:v>apple_small</x:v>
      </x:c>
      <x:c r="B203" s="18" t="n">
        <x:v>1</x:v>
      </x:c>
      <x:c r="C203" s="18" t="n">
        <x:v>8</x:v>
      </x:c>
      <x:c r="D203" s="19" t="str">
        <x:v>legacy</x:v>
      </x:c>
      <x:c r="E203" s="19" t="str">
        <x:v>每配方一次</x:v>
      </x:c>
      <x:c r="F203" s="19" t="str">
        <x:v>CIPValve</x:v>
      </x:c>
      <x:c r="G203" s="19" t="str"/>
      <x:c r="H203" s="19" t="str">
        <x:v>05 00 13 00 00</x:v>
      </x:c>
      <x:c r="I203" s="19" t="str">
        <x:v>Write CIPValve register 0013</x:v>
      </x:c>
      <x:c r="J203" s="19" t="str"/>
      <x:c r="K203" s="19" t="str">
        <x:v>响应回显=05 00 13 00 00</x:v>
      </x:c>
      <x:c r="L203" s="19" t="str"/>
      <x:c r="M203" s="19" t="str">
        <x:v>candidate:layered/L3_group/step_01_system_initialization.group.json</x:v>
      </x:c>
    </x:row>
    <x:row r="204" ht="34.5" customHeight="1">
      <x:c r="A204" s="15" t="str">
        <x:v>apple_small</x:v>
      </x:c>
      <x:c r="B204" s="17" t="n">
        <x:v>1</x:v>
      </x:c>
      <x:c r="C204" s="17" t="n">
        <x:v>9</x:v>
      </x:c>
      <x:c r="D204" s="15" t="str">
        <x:v>legacy</x:v>
      </x:c>
      <x:c r="E204" s="15" t="str">
        <x:v>每配方一次</x:v>
      </x:c>
      <x:c r="F204" s="15" t="str">
        <x:v>CIPValve</x:v>
      </x:c>
      <x:c r="G204" s="15" t="str"/>
      <x:c r="H204" s="15" t="str">
        <x:v>05 00 14 00 00</x:v>
      </x:c>
      <x:c r="I204" s="15" t="str">
        <x:v>Write CIPValve register 0014</x:v>
      </x:c>
      <x:c r="J204" s="15" t="str"/>
      <x:c r="K204" s="15" t="str">
        <x:v>响应回显=05 00 14 00 00</x:v>
      </x:c>
      <x:c r="L204" s="15" t="str"/>
      <x:c r="M204" s="15" t="str">
        <x:v>candidate:layered/L3_group/step_01_system_initialization.group.json</x:v>
      </x:c>
    </x:row>
    <x:row r="205" ht="34.5" customHeight="1">
      <x:c r="A205" s="19" t="str">
        <x:v>apple_small</x:v>
      </x:c>
      <x:c r="B205" s="18" t="n">
        <x:v>1</x:v>
      </x:c>
      <x:c r="C205" s="18" t="n">
        <x:v>10</x:v>
      </x:c>
      <x:c r="D205" s="19" t="str">
        <x:v>legacy</x:v>
      </x:c>
      <x:c r="E205" s="19" t="str">
        <x:v>每配方一次</x:v>
      </x:c>
      <x:c r="F205" s="19" t="str">
        <x:v>Relay</x:v>
      </x:c>
      <x:c r="G205" s="19" t="str"/>
      <x:c r="H205" s="19" t="str">
        <x:v>05 00 08 00 00</x:v>
      </x:c>
      <x:c r="I205" s="19" t="str">
        <x:v>Write Relay register 0008</x:v>
      </x:c>
      <x:c r="J205" s="19" t="str"/>
      <x:c r="K205" s="19" t="str">
        <x:v>响应回显=05 00 08 00 00</x:v>
      </x:c>
      <x:c r="L205" s="19" t="str"/>
      <x:c r="M205" s="19" t="str">
        <x:v>candidate:layered/L3_group/step_01_system_initialization.group.json</x:v>
      </x:c>
    </x:row>
    <x:row r="206" ht="34.5" customHeight="1">
      <x:c r="A206" s="15" t="str">
        <x:v>apple_small</x:v>
      </x:c>
      <x:c r="B206" s="17" t="n">
        <x:v>1</x:v>
      </x:c>
      <x:c r="C206" s="17" t="n">
        <x:v>11</x:v>
      </x:c>
      <x:c r="D206" s="15" t="str">
        <x:v>legacy</x:v>
      </x:c>
      <x:c r="E206" s="15" t="str">
        <x:v>每配方一次</x:v>
      </x:c>
      <x:c r="F206" s="15" t="str">
        <x:v>Relay</x:v>
      </x:c>
      <x:c r="G206" s="15" t="str"/>
      <x:c r="H206" s="15" t="str">
        <x:v>05 00 09 00 00</x:v>
      </x:c>
      <x:c r="I206" s="15" t="str">
        <x:v>Write Relay register 0009</x:v>
      </x:c>
      <x:c r="J206" s="15" t="str"/>
      <x:c r="K206" s="15" t="str">
        <x:v>响应回显=05 00 09 00 00</x:v>
      </x:c>
      <x:c r="L206" s="15" t="str"/>
      <x:c r="M206" s="15" t="str">
        <x:v>candidate:layered/L3_group/step_01_system_initialization.group.json</x:v>
      </x:c>
    </x:row>
    <x:row r="207" ht="34.5" customHeight="1">
      <x:c r="A207" s="19" t="str">
        <x:v>apple_small</x:v>
      </x:c>
      <x:c r="B207" s="18" t="n">
        <x:v>1</x:v>
      </x:c>
      <x:c r="C207" s="18" t="n">
        <x:v>12</x:v>
      </x:c>
      <x:c r="D207" s="19" t="str">
        <x:v>legacy</x:v>
      </x:c>
      <x:c r="E207" s="19" t="str">
        <x:v>每配方一次</x:v>
      </x:c>
      <x:c r="F207" s="19" t="str">
        <x:v>Relay</x:v>
      </x:c>
      <x:c r="G207" s="19" t="str"/>
      <x:c r="H207" s="19" t="str">
        <x:v>05 00 0A 00 00</x:v>
      </x:c>
      <x:c r="I207" s="19" t="str">
        <x:v>Write Relay register 000A</x:v>
      </x:c>
      <x:c r="J207" s="19" t="str"/>
      <x:c r="K207" s="19" t="str">
        <x:v>响应回显=05 00 0A 00 00</x:v>
      </x:c>
      <x:c r="L207" s="19" t="str"/>
      <x:c r="M207" s="19" t="str">
        <x:v>candidate:layered/L3_group/step_01_system_initialization.group.json</x:v>
      </x:c>
    </x:row>
    <x:row r="208" ht="34.5" customHeight="1">
      <x:c r="A208" s="15" t="str">
        <x:v>apple_small</x:v>
      </x:c>
      <x:c r="B208" s="17" t="n">
        <x:v>1</x:v>
      </x:c>
      <x:c r="C208" s="17" t="n">
        <x:v>13</x:v>
      </x:c>
      <x:c r="D208" s="15" t="str">
        <x:v>legacy</x:v>
      </x:c>
      <x:c r="E208" s="15" t="str">
        <x:v>每配方一次</x:v>
      </x:c>
      <x:c r="F208" s="15" t="str">
        <x:v>Relay</x:v>
      </x:c>
      <x:c r="G208" s="15" t="str"/>
      <x:c r="H208" s="15" t="str">
        <x:v>05 00 0B 00 00</x:v>
      </x:c>
      <x:c r="I208" s="15" t="str">
        <x:v>Write Relay register 000B</x:v>
      </x:c>
      <x:c r="J208" s="15" t="str"/>
      <x:c r="K208" s="15" t="str">
        <x:v>响应回显=05 00 0B 00 00</x:v>
      </x:c>
      <x:c r="L208" s="15" t="str"/>
      <x:c r="M208" s="15" t="str">
        <x:v>candidate:layered/L3_group/step_01_system_initialization.group.json</x:v>
      </x:c>
    </x:row>
    <x:row r="209" ht="34.5" customHeight="1">
      <x:c r="A209" s="19" t="str">
        <x:v>apple_small</x:v>
      </x:c>
      <x:c r="B209" s="18" t="n">
        <x:v>1</x:v>
      </x:c>
      <x:c r="C209" s="18" t="n">
        <x:v>14</x:v>
      </x:c>
      <x:c r="D209" s="19" t="str">
        <x:v>legacy</x:v>
      </x:c>
      <x:c r="E209" s="19" t="str">
        <x:v>每配方一次</x:v>
      </x:c>
      <x:c r="F209" s="19" t="str">
        <x:v>Relay</x:v>
      </x:c>
      <x:c r="G209" s="19" t="str"/>
      <x:c r="H209" s="19" t="str">
        <x:v>05 00 0C 00 00</x:v>
      </x:c>
      <x:c r="I209" s="19" t="str">
        <x:v>Write Relay register 000C</x:v>
      </x:c>
      <x:c r="J209" s="19" t="str"/>
      <x:c r="K209" s="19" t="str">
        <x:v>响应回显=05 00 0C 00 00</x:v>
      </x:c>
      <x:c r="L209" s="19" t="str"/>
      <x:c r="M209" s="19" t="str">
        <x:v>candidate:layered/L3_group/step_01_system_initialization.group.json</x:v>
      </x:c>
    </x:row>
    <x:row r="210" ht="34.5" customHeight="1">
      <x:c r="A210" s="15" t="str">
        <x:v>apple_small</x:v>
      </x:c>
      <x:c r="B210" s="17" t="n">
        <x:v>1</x:v>
      </x:c>
      <x:c r="C210" s="17" t="n">
        <x:v>15</x:v>
      </x:c>
      <x:c r="D210" s="15" t="str">
        <x:v>legacy</x:v>
      </x:c>
      <x:c r="E210" s="15" t="str">
        <x:v>每配方一次</x:v>
      </x:c>
      <x:c r="F210" s="15" t="str">
        <x:v>Relay</x:v>
      </x:c>
      <x:c r="G210" s="15" t="str"/>
      <x:c r="H210" s="15" t="str">
        <x:v>05 00 0D 00 00</x:v>
      </x:c>
      <x:c r="I210" s="15" t="str">
        <x:v>Write Relay register 000D</x:v>
      </x:c>
      <x:c r="J210" s="15" t="str"/>
      <x:c r="K210" s="15" t="str">
        <x:v>响应回显=05 00 0D 00 00</x:v>
      </x:c>
      <x:c r="L210" s="15" t="str"/>
      <x:c r="M210" s="15" t="str">
        <x:v>candidate:layered/L3_group/step_01_system_initialization.group.json</x:v>
      </x:c>
    </x:row>
    <x:row r="211" ht="34.5" customHeight="1">
      <x:c r="A211" s="19" t="str">
        <x:v>apple_small</x:v>
      </x:c>
      <x:c r="B211" s="18" t="n">
        <x:v>1</x:v>
      </x:c>
      <x:c r="C211" s="18" t="n">
        <x:v>16</x:v>
      </x:c>
      <x:c r="D211" s="19" t="str">
        <x:v>legacy</x:v>
      </x:c>
      <x:c r="E211" s="19" t="str">
        <x:v>每配方一次</x:v>
      </x:c>
      <x:c r="F211" s="19" t="str">
        <x:v>Relay</x:v>
      </x:c>
      <x:c r="G211" s="19" t="str"/>
      <x:c r="H211" s="19" t="str">
        <x:v>05 00 0E 00 00</x:v>
      </x:c>
      <x:c r="I211" s="19" t="str">
        <x:v>Write Relay register 000E</x:v>
      </x:c>
      <x:c r="J211" s="19" t="str"/>
      <x:c r="K211" s="19" t="str">
        <x:v>响应回显=05 00 0E 00 00</x:v>
      </x:c>
      <x:c r="L211" s="19" t="str"/>
      <x:c r="M211" s="19" t="str">
        <x:v>candidate:layered/L3_group/step_01_system_initialization.group.json</x:v>
      </x:c>
    </x:row>
    <x:row r="212" ht="34.5" customHeight="1">
      <x:c r="A212" s="15" t="str">
        <x:v>apple_small</x:v>
      </x:c>
      <x:c r="B212" s="17" t="n">
        <x:v>1</x:v>
      </x:c>
      <x:c r="C212" s="17" t="n">
        <x:v>17</x:v>
      </x:c>
      <x:c r="D212" s="15" t="str">
        <x:v>trigger</x:v>
      </x:c>
      <x:c r="E212" s="15" t="str">
        <x:v>每配方一次</x:v>
      </x:c>
      <x:c r="F212" s="15" t="str">
        <x:v>X</x:v>
      </x:c>
      <x:c r="G212" s="15" t="str"/>
      <x:c r="H212" s="15" t="str">
        <x:v>FC06 0x6002=16</x:v>
      </x:c>
      <x:c r="I212" s="15" t="str">
        <x:v>触发预设PR0</x:v>
      </x:c>
      <x:c r="J212" s="15" t="str"/>
      <x:c r="K212" s="15" t="str">
        <x:v>写入响应回显</x:v>
      </x:c>
      <x:c r="L212" s="15" t="str"/>
      <x:c r="M212" s="15" t="str">
        <x:v>candidate:layered/L3_group/step_01_system_initialization.group.json</x:v>
      </x:c>
    </x:row>
    <x:row r="213" ht="34.5" customHeight="1">
      <x:c r="A213" s="19" t="str">
        <x:v>apple_small</x:v>
      </x:c>
      <x:c r="B213" s="18" t="n">
        <x:v>1</x:v>
      </x:c>
      <x:c r="C213" s="18" t="n">
        <x:v>18</x:v>
      </x:c>
      <x:c r="D213" s="19" t="str">
        <x:v>trigger</x:v>
      </x:c>
      <x:c r="E213" s="19" t="str">
        <x:v>每配方一次</x:v>
      </x:c>
      <x:c r="F213" s="19" t="str">
        <x:v>Y1</x:v>
      </x:c>
      <x:c r="G213" s="19" t="str"/>
      <x:c r="H213" s="19" t="str">
        <x:v>FC06 0x6002=16</x:v>
      </x:c>
      <x:c r="I213" s="19" t="str">
        <x:v>触发预设PR0</x:v>
      </x:c>
      <x:c r="J213" s="19" t="str"/>
      <x:c r="K213" s="19" t="str">
        <x:v>写入响应回显</x:v>
      </x:c>
      <x:c r="L213" s="19" t="str"/>
      <x:c r="M213" s="19" t="str">
        <x:v>candidate:layered/L3_group/step_01_system_initialization.group.json</x:v>
      </x:c>
    </x:row>
    <x:row r="214" ht="34.5" customHeight="1">
      <x:c r="A214" s="15" t="str">
        <x:v>apple_small</x:v>
      </x:c>
      <x:c r="B214" s="17" t="n">
        <x:v>1</x:v>
      </x:c>
      <x:c r="C214" s="17" t="n">
        <x:v>19</x:v>
      </x:c>
      <x:c r="D214" s="15" t="str">
        <x:v>trigger</x:v>
      </x:c>
      <x:c r="E214" s="15" t="str">
        <x:v>每配方一次</x:v>
      </x:c>
      <x:c r="F214" s="15" t="str">
        <x:v>Y2</x:v>
      </x:c>
      <x:c r="G214" s="15" t="str"/>
      <x:c r="H214" s="15" t="str">
        <x:v>FC06 0x6002=16</x:v>
      </x:c>
      <x:c r="I214" s="15" t="str">
        <x:v>触发预设PR0</x:v>
      </x:c>
      <x:c r="J214" s="15" t="str"/>
      <x:c r="K214" s="15" t="str">
        <x:v>写入响应回显</x:v>
      </x:c>
      <x:c r="L214" s="15" t="str"/>
      <x:c r="M214" s="15" t="str">
        <x:v>candidate:layered/L3_group/step_01_system_initialization.group.json</x:v>
      </x:c>
    </x:row>
    <x:row r="215" ht="34.5" customHeight="1">
      <x:c r="A215" s="19" t="str">
        <x:v>apple_small</x:v>
      </x:c>
      <x:c r="B215" s="18" t="n">
        <x:v>1</x:v>
      </x:c>
      <x:c r="C215" s="18" t="n">
        <x:v>20</x:v>
      </x:c>
      <x:c r="D215" s="19" t="str">
        <x:v>trigger</x:v>
      </x:c>
      <x:c r="E215" s="19" t="str">
        <x:v>每配方一次</x:v>
      </x:c>
      <x:c r="F215" s="19" t="str">
        <x:v>Z</x:v>
      </x:c>
      <x:c r="G215" s="19" t="str"/>
      <x:c r="H215" s="19" t="str">
        <x:v>FC06 0x6002=16</x:v>
      </x:c>
      <x:c r="I215" s="19" t="str">
        <x:v>触发预设PR0</x:v>
      </x:c>
      <x:c r="J215" s="19" t="str"/>
      <x:c r="K215" s="19" t="str">
        <x:v>写入响应回显</x:v>
      </x:c>
      <x:c r="L215" s="19" t="str"/>
      <x:c r="M215" s="19" t="str">
        <x:v>candidate:layered/L3_group/step_01_system_initialization.group.json</x:v>
      </x:c>
    </x:row>
    <x:row r="216" ht="34.5" customHeight="1">
      <x:c r="A216" s="15" t="str">
        <x:v>apple_small</x:v>
      </x:c>
      <x:c r="B216" s="17" t="n">
        <x:v>1</x:v>
      </x:c>
      <x:c r="C216" s="17" t="n">
        <x:v>21</x:v>
      </x:c>
      <x:c r="D216" s="15" t="str">
        <x:v>ready</x:v>
      </x:c>
      <x:c r="E216" s="15" t="str">
        <x:v>每配方一次</x:v>
      </x:c>
      <x:c r="F216" s="15" t="str">
        <x:v>X</x:v>
      </x:c>
      <x:c r="G216" s="15" t="str"/>
      <x:c r="H216" s="15" t="str">
        <x:v>FC04 0x0000</x:v>
      </x:c>
      <x:c r="I216" s="15" t="str">
        <x:v>等待设备完成</x:v>
      </x:c>
      <x:c r="J216" s="15" t="str">
        <x:v>每20ms；截止4000ms</x:v>
      </x:c>
      <x:c r="K216" s="15" t="str">
        <x:v>04 02 00 01</x:v>
      </x:c>
      <x:c r="L216" s="15" t="str">
        <x:v>HOME_TIMEOUT</x:v>
      </x:c>
      <x:c r="M216" s="15" t="str">
        <x:v>candidate:layered/L3_group/step_01_system_initialization.group.json</x:v>
      </x:c>
    </x:row>
    <x:row r="217" ht="34.5" customHeight="1">
      <x:c r="A217" s="19" t="str">
        <x:v>apple_small</x:v>
      </x:c>
      <x:c r="B217" s="18" t="n">
        <x:v>1</x:v>
      </x:c>
      <x:c r="C217" s="18" t="n">
        <x:v>22</x:v>
      </x:c>
      <x:c r="D217" s="19" t="str">
        <x:v>ready</x:v>
      </x:c>
      <x:c r="E217" s="19" t="str">
        <x:v>每配方一次</x:v>
      </x:c>
      <x:c r="F217" s="19" t="str">
        <x:v>Y1</x:v>
      </x:c>
      <x:c r="G217" s="19" t="str"/>
      <x:c r="H217" s="19" t="str">
        <x:v>FC04 0x0000</x:v>
      </x:c>
      <x:c r="I217" s="19" t="str">
        <x:v>等待设备完成</x:v>
      </x:c>
      <x:c r="J217" s="19" t="str">
        <x:v>每20ms；截止4000ms</x:v>
      </x:c>
      <x:c r="K217" s="19" t="str">
        <x:v>04 02 00 01</x:v>
      </x:c>
      <x:c r="L217" s="19" t="str">
        <x:v>HOME_TIMEOUT</x:v>
      </x:c>
      <x:c r="M217" s="19" t="str">
        <x:v>candidate:layered/L3_group/step_01_system_initialization.group.json</x:v>
      </x:c>
    </x:row>
    <x:row r="218" ht="34.5" customHeight="1">
      <x:c r="A218" s="15" t="str">
        <x:v>apple_small</x:v>
      </x:c>
      <x:c r="B218" s="17" t="n">
        <x:v>1</x:v>
      </x:c>
      <x:c r="C218" s="17" t="n">
        <x:v>23</x:v>
      </x:c>
      <x:c r="D218" s="15" t="str">
        <x:v>ready</x:v>
      </x:c>
      <x:c r="E218" s="15" t="str">
        <x:v>每配方一次</x:v>
      </x:c>
      <x:c r="F218" s="15" t="str">
        <x:v>Y2</x:v>
      </x:c>
      <x:c r="G218" s="15" t="str"/>
      <x:c r="H218" s="15" t="str">
        <x:v>FC04 0x0000</x:v>
      </x:c>
      <x:c r="I218" s="15" t="str">
        <x:v>等待设备完成</x:v>
      </x:c>
      <x:c r="J218" s="15" t="str">
        <x:v>每20ms；截止4000ms</x:v>
      </x:c>
      <x:c r="K218" s="15" t="str">
        <x:v>04 02 00 01</x:v>
      </x:c>
      <x:c r="L218" s="15" t="str">
        <x:v>HOME_TIMEOUT</x:v>
      </x:c>
      <x:c r="M218" s="15" t="str">
        <x:v>candidate:layered/L3_group/step_01_system_initialization.group.json</x:v>
      </x:c>
    </x:row>
    <x:row r="219" ht="34.5" customHeight="1">
      <x:c r="A219" s="19" t="str">
        <x:v>apple_small</x:v>
      </x:c>
      <x:c r="B219" s="18" t="n">
        <x:v>1</x:v>
      </x:c>
      <x:c r="C219" s="18" t="n">
        <x:v>24</x:v>
      </x:c>
      <x:c r="D219" s="19" t="str">
        <x:v>ready</x:v>
      </x:c>
      <x:c r="E219" s="19" t="str">
        <x:v>每配方一次</x:v>
      </x:c>
      <x:c r="F219" s="19" t="str">
        <x:v>Z</x:v>
      </x:c>
      <x:c r="G219" s="19" t="str"/>
      <x:c r="H219" s="19" t="str">
        <x:v>FC04 0x0000</x:v>
      </x:c>
      <x:c r="I219" s="19" t="str">
        <x:v>等待设备完成</x:v>
      </x:c>
      <x:c r="J219" s="19" t="str">
        <x:v>每20ms；截止4000ms</x:v>
      </x:c>
      <x:c r="K219" s="19" t="str">
        <x:v>04 02 00 01</x:v>
      </x:c>
      <x:c r="L219" s="19" t="str">
        <x:v>HOME_TIMEOUT</x:v>
      </x:c>
      <x:c r="M219" s="19" t="str">
        <x:v>candidate:layered/L3_group/step_01_system_initialization.group.json</x:v>
      </x:c>
    </x:row>
    <x:row r="220" ht="34.5" customHeight="1">
      <x:c r="A220" s="15" t="str">
        <x:v>apple_small</x:v>
      </x:c>
      <x:c r="B220" s="17" t="n">
        <x:v>1</x:v>
      </x:c>
      <x:c r="C220" s="17" t="n">
        <x:v>25</x:v>
      </x:c>
      <x:c r="D220" s="15" t="str">
        <x:v>legacy</x:v>
      </x:c>
      <x:c r="E220" s="15" t="str">
        <x:v>每配方一次</x:v>
      </x:c>
      <x:c r="F220" s="15" t="str"/>
      <x:c r="G220" s="15" t="str"/>
      <x:c r="H220" s="15" t="str">
        <x:v>last_x_pr</x:v>
      </x:c>
      <x:c r="I220" s="15" t="str">
        <x:v>设置变量=0</x:v>
      </x:c>
      <x:c r="J220" s="15" t="str"/>
      <x:c r="K220" s="15" t="str"/>
      <x:c r="L220" s="15" t="str"/>
      <x:c r="M220" s="15" t="str">
        <x:v>candidate:layered/L3_group/step_01_system_initialization.group.json</x:v>
      </x:c>
    </x:row>
    <x:row r="221" ht="34.5" customHeight="1">
      <x:c r="A221" s="19" t="str">
        <x:v>apple_small</x:v>
      </x:c>
      <x:c r="B221" s="18" t="n">
        <x:v>1</x:v>
      </x:c>
      <x:c r="C221" s="18" t="n">
        <x:v>26</x:v>
      </x:c>
      <x:c r="D221" s="19" t="str">
        <x:v>legacy</x:v>
      </x:c>
      <x:c r="E221" s="19" t="str">
        <x:v>每配方一次</x:v>
      </x:c>
      <x:c r="F221" s="19" t="str"/>
      <x:c r="G221" s="19" t="str"/>
      <x:c r="H221" s="19" t="str">
        <x:v>last_y_pr</x:v>
      </x:c>
      <x:c r="I221" s="19" t="str">
        <x:v>设置变量=0</x:v>
      </x:c>
      <x:c r="J221" s="19" t="str"/>
      <x:c r="K221" s="19" t="str"/>
      <x:c r="L221" s="19" t="str"/>
      <x:c r="M221" s="19" t="str">
        <x:v>candidate:layered/L3_group/step_01_system_initialization.group.json</x:v>
      </x:c>
    </x:row>
    <x:row r="222" ht="34.5" customHeight="1">
      <x:c r="A222" s="15" t="str">
        <x:v>apple_small</x:v>
      </x:c>
      <x:c r="B222" s="17" t="n">
        <x:v>1</x:v>
      </x:c>
      <x:c r="C222" s="17" t="n">
        <x:v>27</x:v>
      </x:c>
      <x:c r="D222" s="15" t="str">
        <x:v>legacy</x:v>
      </x:c>
      <x:c r="E222" s="15" t="str">
        <x:v>每配方一次</x:v>
      </x:c>
      <x:c r="F222" s="15" t="str"/>
      <x:c r="G222" s="15" t="str"/>
      <x:c r="H222" s="15" t="str">
        <x:v>last_z_pr</x:v>
      </x:c>
      <x:c r="I222" s="15" t="str">
        <x:v>设置变量=0</x:v>
      </x:c>
      <x:c r="J222" s="15" t="str"/>
      <x:c r="K222" s="15" t="str"/>
      <x:c r="L222" s="15" t="str"/>
      <x:c r="M222" s="15" t="str">
        <x:v>candidate:layered/L3_group/step_01_system_initialization.group.json</x:v>
      </x:c>
    </x:row>
    <x:row r="223" ht="34.5" customHeight="1">
      <x:c r="A223" s="19" t="str">
        <x:v>apple_small</x:v>
      </x:c>
      <x:c r="B223" s="18" t="n">
        <x:v>1</x:v>
      </x:c>
      <x:c r="C223" s="18" t="n">
        <x:v>28</x:v>
      </x:c>
      <x:c r="D223" s="19" t="str">
        <x:v>refresh</x:v>
      </x:c>
      <x:c r="E223" s="19" t="str">
        <x:v>每配方一次</x:v>
      </x:c>
      <x:c r="F223" s="19" t="str">
        <x:v>X / Y1 / Y2 / Z</x:v>
      </x:c>
      <x:c r="G223" s="19" t="str"/>
      <x:c r="H223" s="19" t="str">
        <x:v>FC03 0x602C, 2 registers</x:v>
      </x:c>
      <x:c r="I223" s="19" t="str">
        <x:v>缓存四电机坐标；更新centerX/centerY/centerZ（centerY=Y1）</x:v>
      </x:c>
      <x:c r="J223" s="19" t="str"/>
      <x:c r="K223" s="19" t="str"/>
      <x:c r="L223" s="19" t="str"/>
      <x:c r="M223" s="19" t="str">
        <x:v>candidate:layered/L3_group/step_01_system_initialization.group.json</x:v>
      </x:c>
    </x:row>
    <x:row r="224" ht="34.5" customHeight="1">
      <x:c r="A224" s="15" t="str">
        <x:v>apple_small</x:v>
      </x:c>
      <x:c r="B224" s="17" t="n">
        <x:v>1</x:v>
      </x:c>
      <x:c r="C224" s="17" t="n">
        <x:v>29</x:v>
      </x:c>
      <x:c r="D224" s="15" t="str">
        <x:v>legacy</x:v>
      </x:c>
      <x:c r="E224" s="15" t="str">
        <x:v>每配方一次</x:v>
      </x:c>
      <x:c r="F224" s="15" t="str">
        <x:v>X</x:v>
      </x:c>
      <x:c r="G224" s="15" t="str"/>
      <x:c r="H224" s="15" t="str">
        <x:v>03 22 03 00 01；解码={"valueStartByte":2,"valueLength":2,"valueEndian":"big","valueType":"int"}</x:v>
      </x:c>
      <x:c r="I224" s="15" t="str">
        <x:v>X alarm self-check</x:v>
      </x:c>
      <x:c r="J224" s="15" t="str"/>
      <x:c r="K224" s="15" t="str">
        <x:v>equal 0</x:v>
      </x:c>
      <x:c r="L224" s="15" t="str">
        <x:v>X_ALARM</x:v>
      </x:c>
      <x:c r="M224" s="15" t="str">
        <x:v>candidate:layered/L3_group/step_01_system_initialization.group.json</x:v>
      </x:c>
    </x:row>
    <x:row r="225" ht="34.5" customHeight="1">
      <x:c r="A225" s="19" t="str">
        <x:v>apple_small</x:v>
      </x:c>
      <x:c r="B225" s="18" t="n">
        <x:v>1</x:v>
      </x:c>
      <x:c r="C225" s="18" t="n">
        <x:v>30</x:v>
      </x:c>
      <x:c r="D225" s="19" t="str">
        <x:v>legacy</x:v>
      </x:c>
      <x:c r="E225" s="19" t="str">
        <x:v>每配方一次</x:v>
      </x:c>
      <x:c r="F225" s="19" t="str">
        <x:v>Y1</x:v>
      </x:c>
      <x:c r="G225" s="19" t="str"/>
      <x:c r="H225" s="19" t="str">
        <x:v>03 22 03 00 01；解码={"valueStartByte":2,"valueLength":2,"valueEndian":"big","valueType":"int"}</x:v>
      </x:c>
      <x:c r="I225" s="19" t="str">
        <x:v>Y1: Y alarm self-check</x:v>
      </x:c>
      <x:c r="J225" s="19" t="str"/>
      <x:c r="K225" s="19" t="str">
        <x:v>equal 0</x:v>
      </x:c>
      <x:c r="L225" s="19" t="str">
        <x:v>Y_ALARM</x:v>
      </x:c>
      <x:c r="M225" s="19" t="str">
        <x:v>candidate:layered/L3_group/step_01_system_initialization.group.json</x:v>
      </x:c>
    </x:row>
    <x:row r="226" ht="34.5" customHeight="1">
      <x:c r="A226" s="15" t="str">
        <x:v>apple_small</x:v>
      </x:c>
      <x:c r="B226" s="17" t="n">
        <x:v>1</x:v>
      </x:c>
      <x:c r="C226" s="17" t="n">
        <x:v>31</x:v>
      </x:c>
      <x:c r="D226" s="15" t="str">
        <x:v>legacy</x:v>
      </x:c>
      <x:c r="E226" s="15" t="str">
        <x:v>每配方一次</x:v>
      </x:c>
      <x:c r="F226" s="15" t="str">
        <x:v>Y2</x:v>
      </x:c>
      <x:c r="G226" s="15" t="str"/>
      <x:c r="H226" s="15" t="str">
        <x:v>03 22 03 00 01；解码={"valueStartByte":2,"valueLength":2,"valueEndian":"big","valueType":"int"}</x:v>
      </x:c>
      <x:c r="I226" s="15" t="str">
        <x:v>Y2: Y alarm self-check</x:v>
      </x:c>
      <x:c r="J226" s="15" t="str"/>
      <x:c r="K226" s="15" t="str">
        <x:v>equal 0</x:v>
      </x:c>
      <x:c r="L226" s="15" t="str">
        <x:v>Y_ALARM_Y2</x:v>
      </x:c>
      <x:c r="M226" s="15" t="str">
        <x:v>candidate:layered/L3_group/step_01_system_initialization.group.json</x:v>
      </x:c>
    </x:row>
    <x:row r="227" ht="34.5" customHeight="1">
      <x:c r="A227" s="19" t="str">
        <x:v>apple_small</x:v>
      </x:c>
      <x:c r="B227" s="18" t="n">
        <x:v>1</x:v>
      </x:c>
      <x:c r="C227" s="18" t="n">
        <x:v>32</x:v>
      </x:c>
      <x:c r="D227" s="19" t="str">
        <x:v>legacy</x:v>
      </x:c>
      <x:c r="E227" s="19" t="str">
        <x:v>每配方一次</x:v>
      </x:c>
      <x:c r="F227" s="19" t="str">
        <x:v>Z</x:v>
      </x:c>
      <x:c r="G227" s="19" t="str"/>
      <x:c r="H227" s="19" t="str">
        <x:v>03 22 03 00 01；解码={"valueStartByte":2,"valueLength":2,"valueEndian":"big","valueType":"int"}</x:v>
      </x:c>
      <x:c r="I227" s="19" t="str">
        <x:v>Z alarm self-check</x:v>
      </x:c>
      <x:c r="J227" s="19" t="str"/>
      <x:c r="K227" s="19" t="str">
        <x:v>equal 0</x:v>
      </x:c>
      <x:c r="L227" s="19" t="str">
        <x:v>Z_ALARM</x:v>
      </x:c>
      <x:c r="M227" s="19" t="str">
        <x:v>candidate:layered/L3_group/step_01_system_initialization.group.json</x:v>
      </x:c>
    </x:row>
    <x:row r="228" ht="34.5" customHeight="1">
      <x:c r="A228" s="15" t="str">
        <x:v>apple_small</x:v>
      </x:c>
      <x:c r="B228" s="17" t="n">
        <x:v>1</x:v>
      </x:c>
      <x:c r="C228" s="17" t="n">
        <x:v>33</x:v>
      </x:c>
      <x:c r="D228" s="15" t="str">
        <x:v>legacy</x:v>
      </x:c>
      <x:c r="E228" s="15" t="str">
        <x:v>每配方一次</x:v>
      </x:c>
      <x:c r="F228" s="15" t="str">
        <x:v>X</x:v>
      </x:c>
      <x:c r="G228" s="15" t="str"/>
      <x:c r="H228" s="15" t="str">
        <x:v>03 10 03 00 01；解码={"cacheStartByte":2,"cacheLength":2,"cacheEndian":"big","valueType":"int"}</x:v>
      </x:c>
      <x:c r="I228" s="15" t="str">
        <x:v>缓存xStatus</x:v>
      </x:c>
      <x:c r="J228" s="15" t="str"/>
      <x:c r="K228" s="15" t="str"/>
      <x:c r="L228" s="15" t="str"/>
      <x:c r="M228" s="15" t="str">
        <x:v>candidate:layered/L3_group/step_01_system_initialization.group.json</x:v>
      </x:c>
    </x:row>
    <x:row r="229" ht="34.5" customHeight="1">
      <x:c r="A229" s="19" t="str">
        <x:v>apple_small</x:v>
      </x:c>
      <x:c r="B229" s="18" t="n">
        <x:v>1</x:v>
      </x:c>
      <x:c r="C229" s="18" t="n">
        <x:v>34</x:v>
      </x:c>
      <x:c r="D229" s="19" t="str">
        <x:v>legacy</x:v>
      </x:c>
      <x:c r="E229" s="19" t="str">
        <x:v>每配方一次</x:v>
      </x:c>
      <x:c r="F229" s="19" t="str">
        <x:v>Y1</x:v>
      </x:c>
      <x:c r="G229" s="19" t="str"/>
      <x:c r="H229" s="19" t="str">
        <x:v>03 10 03 00 01；解码={"cacheStartByte":2,"cacheLength":2,"cacheEndian":"big","valueType":"int"}</x:v>
      </x:c>
      <x:c r="I229" s="19" t="str">
        <x:v>缓存yStatus</x:v>
      </x:c>
      <x:c r="J229" s="19" t="str"/>
      <x:c r="K229" s="19" t="str"/>
      <x:c r="L229" s="19" t="str"/>
      <x:c r="M229" s="19" t="str">
        <x:v>candidate:layered/L3_group/step_01_system_initialization.group.json</x:v>
      </x:c>
    </x:row>
    <x:row r="230" ht="34.5" customHeight="1">
      <x:c r="A230" s="15" t="str">
        <x:v>apple_small</x:v>
      </x:c>
      <x:c r="B230" s="17" t="n">
        <x:v>1</x:v>
      </x:c>
      <x:c r="C230" s="17" t="n">
        <x:v>35</x:v>
      </x:c>
      <x:c r="D230" s="15" t="str">
        <x:v>legacy</x:v>
      </x:c>
      <x:c r="E230" s="15" t="str">
        <x:v>每配方一次</x:v>
      </x:c>
      <x:c r="F230" s="15" t="str">
        <x:v>Y2</x:v>
      </x:c>
      <x:c r="G230" s="15" t="str"/>
      <x:c r="H230" s="15" t="str">
        <x:v>03 10 03 00 01；解码={"cacheStartByte":2,"cacheLength":2,"cacheEndian":"big","valueType":"int"}</x:v>
      </x:c>
      <x:c r="I230" s="15" t="str">
        <x:v>缓存yStatus_Y2</x:v>
      </x:c>
      <x:c r="J230" s="15" t="str"/>
      <x:c r="K230" s="15" t="str"/>
      <x:c r="L230" s="15" t="str"/>
      <x:c r="M230" s="15" t="str">
        <x:v>candidate:layered/L3_group/step_01_system_initialization.group.json</x:v>
      </x:c>
    </x:row>
    <x:row r="231" ht="34.5" customHeight="1">
      <x:c r="A231" s="19" t="str">
        <x:v>apple_small</x:v>
      </x:c>
      <x:c r="B231" s="18" t="n">
        <x:v>1</x:v>
      </x:c>
      <x:c r="C231" s="18" t="n">
        <x:v>36</x:v>
      </x:c>
      <x:c r="D231" s="19" t="str">
        <x:v>legacy</x:v>
      </x:c>
      <x:c r="E231" s="19" t="str">
        <x:v>每配方一次</x:v>
      </x:c>
      <x:c r="F231" s="19" t="str">
        <x:v>Z</x:v>
      </x:c>
      <x:c r="G231" s="19" t="str"/>
      <x:c r="H231" s="19" t="str">
        <x:v>03 10 03 00 01；解码={"cacheStartByte":2,"cacheLength":2,"cacheEndian":"big","valueType":"int"}</x:v>
      </x:c>
      <x:c r="I231" s="19" t="str">
        <x:v>缓存zStatus</x:v>
      </x:c>
      <x:c r="J231" s="19" t="str"/>
      <x:c r="K231" s="19" t="str"/>
      <x:c r="L231" s="19" t="str"/>
      <x:c r="M231" s="19" t="str">
        <x:v>candidate:layered/L3_group/step_01_system_initialization.group.json</x:v>
      </x:c>
    </x:row>
    <x:row r="232" ht="34.5" customHeight="1">
      <x:c r="A232" s="15" t="str">
        <x:v>apple_small</x:v>
      </x:c>
      <x:c r="B232" s="17" t="n">
        <x:v>1</x:v>
      </x:c>
      <x:c r="C232" s="17" t="n">
        <x:v>37</x:v>
      </x:c>
      <x:c r="D232" s="15" t="str">
        <x:v>legacy</x:v>
      </x:c>
      <x:c r="E232" s="15" t="str">
        <x:v>每配方一次</x:v>
      </x:c>
      <x:c r="F232" s="15" t="str"/>
      <x:c r="G232" s="15" t="str"/>
      <x:c r="H232" s="15" t="str"/>
      <x:c r="I232" s="15" t="str">
        <x:v>显式等待(ms)</x:v>
      </x:c>
      <x:c r="J232" s="15" t="n">
        <x:v>1000</x:v>
      </x:c>
      <x:c r="K232" s="15" t="str"/>
      <x:c r="L232" s="15" t="str"/>
      <x:c r="M232" s="15" t="str">
        <x:v>candidate:layered/L3_group/step_01_system_initialization.group.json</x:v>
      </x:c>
    </x:row>
    <x:row r="233" ht="34.5" customHeight="1">
      <x:c r="A233" s="19" t="str">
        <x:v>apple_small</x:v>
      </x:c>
      <x:c r="B233" s="18" t="n">
        <x:v>2</x:v>
      </x:c>
      <x:c r="C233" s="18" t="n">
        <x:v>1</x:v>
      </x:c>
      <x:c r="D233" s="19" t="str">
        <x:v>legacy</x:v>
      </x:c>
      <x:c r="E233" s="19" t="str">
        <x:v>每瓶一次；每配方12次</x:v>
      </x:c>
      <x:c r="F233" s="19" t="str"/>
      <x:c r="G233" s="19" t="str"/>
      <x:c r="H233" s="19" t="str">
        <x:v>stage</x:v>
      </x:c>
      <x:c r="I233" s="19" t="str">
        <x:v>更新UI=02</x:v>
      </x:c>
      <x:c r="J233" s="19" t="str"/>
      <x:c r="K233" s="19" t="str"/>
      <x:c r="L233" s="19" t="str"/>
      <x:c r="M233" s="19" t="str">
        <x:v>candidate:layered/L3_group/step_02_empty_bottle_feeding.group.json</x:v>
      </x:c>
    </x:row>
    <x:row r="234" ht="34.5" customHeight="1">
      <x:c r="A234" s="15" t="str">
        <x:v>apple_small</x:v>
      </x:c>
      <x:c r="B234" s="17" t="n">
        <x:v>2</x:v>
      </x:c>
      <x:c r="C234" s="17" t="n">
        <x:v>2</x:v>
      </x:c>
      <x:c r="D234" s="15" t="str">
        <x:v>legacy</x:v>
      </x:c>
      <x:c r="E234" s="15" t="str">
        <x:v>每瓶一次；每配方12次</x:v>
      </x:c>
      <x:c r="F234" s="15" t="str">
        <x:v>Relay</x:v>
      </x:c>
      <x:c r="G234" s="15" t="str"/>
      <x:c r="H234" s="15" t="str">
        <x:v>05 00 08 FF 00</x:v>
      </x:c>
      <x:c r="I234" s="15" t="str">
        <x:v>Write Relay register 0008</x:v>
      </x:c>
      <x:c r="J234" s="15" t="str"/>
      <x:c r="K234" s="15" t="str">
        <x:v>响应回显=05 00 08 FF 00</x:v>
      </x:c>
      <x:c r="L234" s="15" t="str"/>
      <x:c r="M234" s="15" t="str">
        <x:v>candidate:layered/L3_group/step_02_empty_bottle_feeding.group.json</x:v>
      </x:c>
    </x:row>
    <x:row r="235" ht="34.5" customHeight="1">
      <x:c r="A235" s="19" t="str">
        <x:v>apple_small</x:v>
      </x:c>
      <x:c r="B235" s="18" t="n">
        <x:v>2</x:v>
      </x:c>
      <x:c r="C235" s="18" t="n">
        <x:v>3</x:v>
      </x:c>
      <x:c r="D235" s="19" t="str">
        <x:v>trigger</x:v>
      </x:c>
      <x:c r="E235" s="19" t="str">
        <x:v>每瓶一次；每配方12次</x:v>
      </x:c>
      <x:c r="F235" s="19" t="str">
        <x:v>Infeed</x:v>
      </x:c>
      <x:c r="G235" s="19" t="str"/>
      <x:c r="H235" s="19" t="str">
        <x:v>FC06 0x6002=19</x:v>
      </x:c>
      <x:c r="I235" s="19" t="str">
        <x:v>触发预设PR3</x:v>
      </x:c>
      <x:c r="J235" s="19" t="str"/>
      <x:c r="K235" s="19" t="str">
        <x:v>写入响应回显</x:v>
      </x:c>
      <x:c r="L235" s="19" t="str"/>
      <x:c r="M235" s="19" t="str">
        <x:v>candidate:layered/L3_group/step_02_empty_bottle_feeding.group.json</x:v>
      </x:c>
    </x:row>
    <x:row r="236" ht="34.5" customHeight="1">
      <x:c r="A236" s="15" t="str">
        <x:v>apple_small</x:v>
      </x:c>
      <x:c r="B236" s="17" t="n">
        <x:v>2</x:v>
      </x:c>
      <x:c r="C236" s="17" t="n">
        <x:v>4</x:v>
      </x:c>
      <x:c r="D236" s="15" t="str">
        <x:v>ready</x:v>
      </x:c>
      <x:c r="E236" s="15" t="str">
        <x:v>每瓶一次；每配方12次</x:v>
      </x:c>
      <x:c r="F236" s="15" t="str">
        <x:v>Infeed</x:v>
      </x:c>
      <x:c r="G236" s="15" t="str"/>
      <x:c r="H236" s="15" t="str">
        <x:v>FC04 0x0000</x:v>
      </x:c>
      <x:c r="I236" s="15" t="str">
        <x:v>等待设备完成</x:v>
      </x:c>
      <x:c r="J236" s="15" t="str">
        <x:v>每20ms；截止4000ms</x:v>
      </x:c>
      <x:c r="K236" s="15" t="str">
        <x:v>04 02 00 01</x:v>
      </x:c>
      <x:c r="L236" s="15" t="str">
        <x:v>EMPTY_FEED_TIMEOUT</x:v>
      </x:c>
      <x:c r="M236" s="15" t="str">
        <x:v>candidate:layered/L3_group/step_02_empty_bottle_feeding.group.json</x:v>
      </x:c>
    </x:row>
    <x:row r="237" ht="34.5" customHeight="1">
      <x:c r="A237" s="19" t="str">
        <x:v>apple_small</x:v>
      </x:c>
      <x:c r="B237" s="18" t="n">
        <x:v>2</x:v>
      </x:c>
      <x:c r="C237" s="18" t="n">
        <x:v>5</x:v>
      </x:c>
      <x:c r="D237" s="19" t="str">
        <x:v>legacy</x:v>
      </x:c>
      <x:c r="E237" s="19" t="str">
        <x:v>每瓶一次；每配方12次</x:v>
      </x:c>
      <x:c r="F237" s="19" t="str">
        <x:v>BottleSensor</x:v>
      </x:c>
      <x:c r="G237" s="19" t="str"/>
      <x:c r="H237" s="19" t="str">
        <x:v>04 00 34 00 01</x:v>
      </x:c>
      <x:c r="I237" s="19" t="str">
        <x:v>Check bottle sensor and wait (5s)</x:v>
      </x:c>
      <x:c r="J237" s="19" t="str">
        <x:v>每100ms；截止5000ms</x:v>
      </x:c>
      <x:c r="K237" s="19" t="str">
        <x:v>04 02 00 01</x:v>
      </x:c>
      <x:c r="L237" s="19" t="str">
        <x:v>BOTTLE_SENSOR_TIMEOUT</x:v>
      </x:c>
      <x:c r="M237" s="19" t="str">
        <x:v>candidate:layered/L3_group/step_02_empty_bottle_feeding.group.json</x:v>
      </x:c>
    </x:row>
    <x:row r="238" ht="34.5" customHeight="1">
      <x:c r="A238" s="15" t="str">
        <x:v>apple_small</x:v>
      </x:c>
      <x:c r="B238" s="17" t="n">
        <x:v>2</x:v>
      </x:c>
      <x:c r="C238" s="17" t="n">
        <x:v>6</x:v>
      </x:c>
      <x:c r="D238" s="15" t="str">
        <x:v>legacy</x:v>
      </x:c>
      <x:c r="E238" s="15" t="str">
        <x:v>每瓶一次；每配方12次</x:v>
      </x:c>
      <x:c r="F238" s="15" t="str">
        <x:v>Relay</x:v>
      </x:c>
      <x:c r="G238" s="15" t="str"/>
      <x:c r="H238" s="15" t="str">
        <x:v>05 00 08 00 00</x:v>
      </x:c>
      <x:c r="I238" s="15" t="str">
        <x:v>Write Relay register 0008</x:v>
      </x:c>
      <x:c r="J238" s="15" t="str"/>
      <x:c r="K238" s="15" t="str">
        <x:v>响应回显=05 00 08 00 00</x:v>
      </x:c>
      <x:c r="L238" s="15" t="str"/>
      <x:c r="M238" s="15" t="str">
        <x:v>candidate:layered/L3_group/step_02_empty_bottle_feeding.group.json</x:v>
      </x:c>
    </x:row>
    <x:row r="239" ht="34.5" customHeight="1">
      <x:c r="A239" s="19" t="str">
        <x:v>apple_small</x:v>
      </x:c>
      <x:c r="B239" s="18" t="n">
        <x:v>2</x:v>
      </x:c>
      <x:c r="C239" s="18" t="n">
        <x:v>7</x:v>
      </x:c>
      <x:c r="D239" s="19" t="str">
        <x:v>move</x:v>
      </x:c>
      <x:c r="E239" s="19" t="str">
        <x:v>每瓶一次；每配方12次</x:v>
      </x:c>
      <x:c r="F239" s="19" t="str">
        <x:v>X / Y1 / Y2 / Z</x:v>
      </x:c>
      <x:c r="G239" s="19" t="n">
        <x:v>33</x:v>
      </x:c>
      <x:c r="H239" s="19" t="str">
        <x:v>empty_entry</x:v>
      </x:c>
      <x:c r="I239" s="19" t="str">
        <x:v>移动至 small empty entry；PR=(3,3,3,1)；仅变化轴触发</x:v>
      </x:c>
      <x:c r="J239" s="19" t="str">
        <x:v>四电机各20ms轮询/4000ms截止</x:v>
      </x:c>
      <x:c r="K239" s="19" t="str">
        <x:v>全部就绪；缓存四位置；UI使用X/Y1/Z</x:v>
      </x:c>
      <x:c r="L239" s="19" t="str">
        <x:v>MOTION_TIMEOUT</x:v>
      </x:c>
      <x:c r="M239" s="19" t="str">
        <x:v>candidate:layered/L3_group/step_02_empty_bottle_feeding.group.json</x:v>
      </x:c>
    </x:row>
    <x:row r="240" ht="34.5" customHeight="1">
      <x:c r="A240" s="15" t="str">
        <x:v>apple_small</x:v>
      </x:c>
      <x:c r="B240" s="17" t="n">
        <x:v>2</x:v>
      </x:c>
      <x:c r="C240" s="17" t="n">
        <x:v>8</x:v>
      </x:c>
      <x:c r="D240" s="15" t="str">
        <x:v>move</x:v>
      </x:c>
      <x:c r="E240" s="15" t="str">
        <x:v>每瓶一次；每配方12次</x:v>
      </x:c>
      <x:c r="F240" s="15" t="str">
        <x:v>X / Y1 / Y2 / Z</x:v>
      </x:c>
      <x:c r="G240" s="15" t="n">
        <x:v>34</x:v>
      </x:c>
      <x:c r="H240" s="15" t="str">
        <x:v>empty_work</x:v>
      </x:c>
      <x:c r="I240" s="15" t="str">
        <x:v>移动至 small empty work；PR=(3,3,3,4)；仅变化轴触发</x:v>
      </x:c>
      <x:c r="J240" s="15" t="str">
        <x:v>四电机各20ms轮询/4000ms截止</x:v>
      </x:c>
      <x:c r="K240" s="15" t="str">
        <x:v>全部就绪；缓存四位置；UI使用X/Y1/Z</x:v>
      </x:c>
      <x:c r="L240" s="15" t="str">
        <x:v>MOTION_TIMEOUT</x:v>
      </x:c>
      <x:c r="M240" s="15" t="str">
        <x:v>candidate:layered/L3_group/step_02_empty_bottle_feeding.group.json</x:v>
      </x:c>
    </x:row>
    <x:row r="241" ht="34.5" customHeight="1">
      <x:c r="A241" s="19" t="str">
        <x:v>apple_small</x:v>
      </x:c>
      <x:c r="B241" s="18" t="n">
        <x:v>2</x:v>
      </x:c>
      <x:c r="C241" s="18" t="n">
        <x:v>9</x:v>
      </x:c>
      <x:c r="D241" s="19" t="str">
        <x:v>coil</x:v>
      </x:c>
      <x:c r="E241" s="19" t="str">
        <x:v>每瓶一次；每配方12次</x:v>
      </x:c>
      <x:c r="F241" s="19" t="str">
        <x:v>Gripper</x:v>
      </x:c>
      <x:c r="G241" s="19" t="str"/>
      <x:c r="H241" s="19" t="str">
        <x:v>FC05 0x0000</x:v>
      </x:c>
      <x:c r="I241" s="19" t="str">
        <x:v>开启</x:v>
      </x:c>
      <x:c r="J241" s="19" t="str"/>
      <x:c r="K241" s="19" t="str">
        <x:v>写入响应回显</x:v>
      </x:c>
      <x:c r="L241" s="19" t="str"/>
      <x:c r="M241" s="19" t="str">
        <x:v>candidate:layered/L3_group/step_02_empty_bottle_feeding.group.json</x:v>
      </x:c>
    </x:row>
    <x:row r="242" ht="34.5" customHeight="1">
      <x:c r="A242" s="15" t="str">
        <x:v>apple_small</x:v>
      </x:c>
      <x:c r="B242" s="17" t="n">
        <x:v>2</x:v>
      </x:c>
      <x:c r="C242" s="17" t="n">
        <x:v>10</x:v>
      </x:c>
      <x:c r="D242" s="15" t="str">
        <x:v>legacy</x:v>
      </x:c>
      <x:c r="E242" s="15" t="str">
        <x:v>每瓶一次；每配方12次</x:v>
      </x:c>
      <x:c r="F242" s="15" t="str">
        <x:v>BottleSensor</x:v>
      </x:c>
      <x:c r="G242" s="15" t="str"/>
      <x:c r="H242" s="15" t="str">
        <x:v>04 00 41 00 01</x:v>
      </x:c>
      <x:c r="I242" s="15" t="str">
        <x:v>Check pick sensor</x:v>
      </x:c>
      <x:c r="J242" s="15" t="str">
        <x:v>每50ms；截止3000ms</x:v>
      </x:c>
      <x:c r="K242" s="15" t="str">
        <x:v>04 02 00 01</x:v>
      </x:c>
      <x:c r="L242" s="15" t="str">
        <x:v>PICK_TIMEOUT</x:v>
      </x:c>
      <x:c r="M242" s="15" t="str">
        <x:v>candidate:layered/L3_group/step_02_empty_bottle_feeding.group.json</x:v>
      </x:c>
    </x:row>
    <x:row r="243" ht="34.5" customHeight="1">
      <x:c r="A243" s="19" t="str">
        <x:v>apple_small</x:v>
      </x:c>
      <x:c r="B243" s="18" t="n">
        <x:v>3</x:v>
      </x:c>
      <x:c r="C243" s="18" t="n">
        <x:v>1</x:v>
      </x:c>
      <x:c r="D243" s="19" t="str">
        <x:v>legacy</x:v>
      </x:c>
      <x:c r="E243" s="19" t="str">
        <x:v>每瓶一次；每配方12次</x:v>
      </x:c>
      <x:c r="F243" s="19" t="str"/>
      <x:c r="G243" s="19" t="str"/>
      <x:c r="H243" s="19" t="str">
        <x:v>stage</x:v>
      </x:c>
      <x:c r="I243" s="19" t="str">
        <x:v>更新UI=03</x:v>
      </x:c>
      <x:c r="J243" s="19" t="str"/>
      <x:c r="K243" s="19" t="str"/>
      <x:c r="L243" s="19" t="str"/>
      <x:c r="M243" s="19" t="str">
        <x:v>candidate:layered/L3_group/step_03_bottle_position_detection.group.json</x:v>
      </x:c>
    </x:row>
    <x:row r="244" ht="34.5" customHeight="1">
      <x:c r="A244" s="15" t="str">
        <x:v>apple_small</x:v>
      </x:c>
      <x:c r="B244" s="17" t="n">
        <x:v>3</x:v>
      </x:c>
      <x:c r="C244" s="17" t="n">
        <x:v>2</x:v>
      </x:c>
      <x:c r="D244" s="15" t="str">
        <x:v>present</x:v>
      </x:c>
      <x:c r="E244" s="15" t="str">
        <x:v>每瓶一次；每配方12次</x:v>
      </x:c>
      <x:c r="F244" s="15" t="str">
        <x:v>ContainerSensor</x:v>
      </x:c>
      <x:c r="G244" s="15" t="str"/>
      <x:c r="H244" s="15" t="str">
        <x:v>FC04 0x0001</x:v>
      </x:c>
      <x:c r="I244" s="15" t="str">
        <x:v>确认夹持容器</x:v>
      </x:c>
      <x:c r="J244" s="15" t="str">
        <x:v>每20ms；截止2000ms</x:v>
      </x:c>
      <x:c r="K244" s="15" t="str">
        <x:v>04 02 00 01</x:v>
      </x:c>
      <x:c r="L244" s="15" t="str">
        <x:v>NO_CONTAINER</x:v>
      </x:c>
      <x:c r="M244" s="15" t="str">
        <x:v>candidate:layered/L3_group/step_03_bottle_position_detection.group.json</x:v>
      </x:c>
    </x:row>
    <x:row r="245" ht="34.5" customHeight="1">
      <x:c r="A245" s="19" t="str">
        <x:v>apple_small</x:v>
      </x:c>
      <x:c r="B245" s="18" t="n">
        <x:v>3</x:v>
      </x:c>
      <x:c r="C245" s="18" t="n">
        <x:v>3</x:v>
      </x:c>
      <x:c r="D245" s="19" t="str">
        <x:v>legacy</x:v>
      </x:c>
      <x:c r="E245" s="19" t="str">
        <x:v>每瓶一次；每配方12次</x:v>
      </x:c>
      <x:c r="F245" s="19" t="str">
        <x:v>BottleSensor</x:v>
      </x:c>
      <x:c r="G245" s="19" t="str"/>
      <x:c r="H245" s="19" t="str">
        <x:v>04 00 34 00 01</x:v>
      </x:c>
      <x:c r="I245" s="19" t="str">
        <x:v>Check station 1 sensor</x:v>
      </x:c>
      <x:c r="J245" s="19" t="str">
        <x:v>每50ms；截止3000ms</x:v>
      </x:c>
      <x:c r="K245" s="19" t="str">
        <x:v>04 02 00 01</x:v>
      </x:c>
      <x:c r="L245" s="19" t="str">
        <x:v>POS1_TIMEOUT</x:v>
      </x:c>
      <x:c r="M245" s="19" t="str">
        <x:v>candidate:layered/L3_group/step_03_bottle_position_detection.group.json</x:v>
      </x:c>
    </x:row>
    <x:row r="246" ht="34.5" customHeight="1">
      <x:c r="A246" s="15" t="str">
        <x:v>apple_small</x:v>
      </x:c>
      <x:c r="B246" s="17" t="n">
        <x:v>3</x:v>
      </x:c>
      <x:c r="C246" s="17" t="n">
        <x:v>4</x:v>
      </x:c>
      <x:c r="D246" s="15" t="str">
        <x:v>legacy</x:v>
      </x:c>
      <x:c r="E246" s="15" t="str">
        <x:v>每瓶一次；每配方12次</x:v>
      </x:c>
      <x:c r="F246" s="15" t="str">
        <x:v>BottleSensor</x:v>
      </x:c>
      <x:c r="G246" s="15" t="str"/>
      <x:c r="H246" s="15" t="str">
        <x:v>04 00 35 00 01</x:v>
      </x:c>
      <x:c r="I246" s="15" t="str">
        <x:v>Check station 2 sensor</x:v>
      </x:c>
      <x:c r="J246" s="15" t="str">
        <x:v>每50ms；截止3000ms</x:v>
      </x:c>
      <x:c r="K246" s="15" t="str">
        <x:v>04 02 00 01</x:v>
      </x:c>
      <x:c r="L246" s="15" t="str">
        <x:v>POS2_TIMEOUT</x:v>
      </x:c>
      <x:c r="M246" s="15" t="str">
        <x:v>candidate:layered/L3_group/step_03_bottle_position_detection.group.json</x:v>
      </x:c>
    </x:row>
    <x:row r="247" ht="34.5" customHeight="1">
      <x:c r="A247" s="19" t="str">
        <x:v>apple_small</x:v>
      </x:c>
      <x:c r="B247" s="18" t="n">
        <x:v>3</x:v>
      </x:c>
      <x:c r="C247" s="18" t="n">
        <x:v>5</x:v>
      </x:c>
      <x:c r="D247" s="19" t="str">
        <x:v>legacy</x:v>
      </x:c>
      <x:c r="E247" s="19" t="str">
        <x:v>每瓶一次；每配方12次</x:v>
      </x:c>
      <x:c r="F247" s="19" t="str">
        <x:v>BottleSensor</x:v>
      </x:c>
      <x:c r="G247" s="19" t="str"/>
      <x:c r="H247" s="19" t="str">
        <x:v>04 00 36 00 01</x:v>
      </x:c>
      <x:c r="I247" s="19" t="str">
        <x:v>Check station 3 sensor</x:v>
      </x:c>
      <x:c r="J247" s="19" t="str">
        <x:v>每50ms；截止3000ms</x:v>
      </x:c>
      <x:c r="K247" s="19" t="str">
        <x:v>04 02 00 01</x:v>
      </x:c>
      <x:c r="L247" s="19" t="str">
        <x:v>POS3_TIMEOUT</x:v>
      </x:c>
      <x:c r="M247" s="19" t="str">
        <x:v>candidate:layered/L3_group/step_03_bottle_position_detection.group.json</x:v>
      </x:c>
    </x:row>
    <x:row r="248" ht="34.5" customHeight="1">
      <x:c r="A248" s="15" t="str">
        <x:v>apple_small</x:v>
      </x:c>
      <x:c r="B248" s="17" t="n">
        <x:v>3</x:v>
      </x:c>
      <x:c r="C248" s="17" t="n">
        <x:v>6</x:v>
      </x:c>
      <x:c r="D248" s="15" t="str">
        <x:v>legacy</x:v>
      </x:c>
      <x:c r="E248" s="15" t="str">
        <x:v>每瓶一次；每配方12次</x:v>
      </x:c>
      <x:c r="F248" s="15" t="str">
        <x:v>BottleSensor</x:v>
      </x:c>
      <x:c r="G248" s="15" t="str"/>
      <x:c r="H248" s="15" t="str">
        <x:v>04 00 37 00 01</x:v>
      </x:c>
      <x:c r="I248" s="15" t="str">
        <x:v>Check station 4 sensor</x:v>
      </x:c>
      <x:c r="J248" s="15" t="str">
        <x:v>每50ms；截止3000ms</x:v>
      </x:c>
      <x:c r="K248" s="15" t="str">
        <x:v>04 02 00 01</x:v>
      </x:c>
      <x:c r="L248" s="15" t="str">
        <x:v>POS4_TIMEOUT</x:v>
      </x:c>
      <x:c r="M248" s="15" t="str">
        <x:v>candidate:layered/L3_group/step_03_bottle_position_detection.group.json</x:v>
      </x:c>
    </x:row>
    <x:row r="249" ht="34.5" customHeight="1">
      <x:c r="A249" s="19" t="str">
        <x:v>apple_small</x:v>
      </x:c>
      <x:c r="B249" s="18" t="n">
        <x:v>3</x:v>
      </x:c>
      <x:c r="C249" s="18" t="n">
        <x:v>7</x:v>
      </x:c>
      <x:c r="D249" s="19" t="str">
        <x:v>legacy</x:v>
      </x:c>
      <x:c r="E249" s="19" t="str">
        <x:v>每瓶一次；每配方12次</x:v>
      </x:c>
      <x:c r="F249" s="19" t="str">
        <x:v>BottleSensor</x:v>
      </x:c>
      <x:c r="G249" s="19" t="str"/>
      <x:c r="H249" s="19" t="str">
        <x:v>04 00 34 00 01；解码={"cacheStartByte":2,"cacheLength":2,"cacheEndian":"big","valueType":"uint16"}</x:v>
      </x:c>
      <x:c r="I249" s="19" t="str">
        <x:v>缓存pos1State</x:v>
      </x:c>
      <x:c r="J249" s="19" t="str"/>
      <x:c r="K249" s="19" t="str"/>
      <x:c r="L249" s="19" t="str"/>
      <x:c r="M249" s="19" t="str">
        <x:v>candidate:layered/L3_group/step_03_bottle_position_detection.group.json</x:v>
      </x:c>
    </x:row>
    <x:row r="250" ht="34.5" customHeight="1">
      <x:c r="A250" s="15" t="str">
        <x:v>apple_small</x:v>
      </x:c>
      <x:c r="B250" s="17" t="n">
        <x:v>3</x:v>
      </x:c>
      <x:c r="C250" s="17" t="n">
        <x:v>8</x:v>
      </x:c>
      <x:c r="D250" s="15" t="str">
        <x:v>legacy</x:v>
      </x:c>
      <x:c r="E250" s="15" t="str">
        <x:v>每瓶一次；每配方12次</x:v>
      </x:c>
      <x:c r="F250" s="15" t="str">
        <x:v>BottleSensor</x:v>
      </x:c>
      <x:c r="G250" s="15" t="str"/>
      <x:c r="H250" s="15" t="str">
        <x:v>04 00 35 00 01；解码={"cacheStartByte":2,"cacheLength":2,"cacheEndian":"big","valueType":"uint16"}</x:v>
      </x:c>
      <x:c r="I250" s="15" t="str">
        <x:v>缓存pos2State</x:v>
      </x:c>
      <x:c r="J250" s="15" t="str"/>
      <x:c r="K250" s="15" t="str"/>
      <x:c r="L250" s="15" t="str"/>
      <x:c r="M250" s="15" t="str">
        <x:v>candidate:layered/L3_group/step_03_bottle_position_detection.group.json</x:v>
      </x:c>
    </x:row>
    <x:row r="251" ht="34.5" customHeight="1">
      <x:c r="A251" s="19" t="str">
        <x:v>apple_small</x:v>
      </x:c>
      <x:c r="B251" s="18" t="n">
        <x:v>3</x:v>
      </x:c>
      <x:c r="C251" s="18" t="n">
        <x:v>9</x:v>
      </x:c>
      <x:c r="D251" s="19" t="str">
        <x:v>legacy</x:v>
      </x:c>
      <x:c r="E251" s="19" t="str">
        <x:v>每瓶一次；每配方12次</x:v>
      </x:c>
      <x:c r="F251" s="19" t="str">
        <x:v>BottleSensor</x:v>
      </x:c>
      <x:c r="G251" s="19" t="str"/>
      <x:c r="H251" s="19" t="str">
        <x:v>04 00 36 00 01；解码={"cacheStartByte":2,"cacheLength":2,"cacheEndian":"big","valueType":"uint16"}</x:v>
      </x:c>
      <x:c r="I251" s="19" t="str">
        <x:v>缓存pos3State</x:v>
      </x:c>
      <x:c r="J251" s="19" t="str"/>
      <x:c r="K251" s="19" t="str"/>
      <x:c r="L251" s="19" t="str"/>
      <x:c r="M251" s="19" t="str">
        <x:v>candidate:layered/L3_group/step_03_bottle_position_detection.group.json</x:v>
      </x:c>
    </x:row>
    <x:row r="252" ht="34.5" customHeight="1">
      <x:c r="A252" s="15" t="str">
        <x:v>apple_small</x:v>
      </x:c>
      <x:c r="B252" s="17" t="n">
        <x:v>3</x:v>
      </x:c>
      <x:c r="C252" s="17" t="n">
        <x:v>10</x:v>
      </x:c>
      <x:c r="D252" s="15" t="str">
        <x:v>legacy</x:v>
      </x:c>
      <x:c r="E252" s="15" t="str">
        <x:v>每瓶一次；每配方12次</x:v>
      </x:c>
      <x:c r="F252" s="15" t="str">
        <x:v>BottleSensor</x:v>
      </x:c>
      <x:c r="G252" s="15" t="str"/>
      <x:c r="H252" s="15" t="str">
        <x:v>04 00 37 00 01；解码={"cacheStartByte":2,"cacheLength":2,"cacheEndian":"big","valueType":"uint16"}</x:v>
      </x:c>
      <x:c r="I252" s="15" t="str">
        <x:v>缓存pos4State</x:v>
      </x:c>
      <x:c r="J252" s="15" t="str"/>
      <x:c r="K252" s="15" t="str"/>
      <x:c r="L252" s="15" t="str"/>
      <x:c r="M252" s="15" t="str">
        <x:v>candidate:layered/L3_group/step_03_bottle_position_detection.group.json</x:v>
      </x:c>
    </x:row>
    <x:row r="253" ht="34.5" customHeight="1">
      <x:c r="A253" s="19" t="str">
        <x:v>apple_small</x:v>
      </x:c>
      <x:c r="B253" s="18" t="n">
        <x:v>3</x:v>
      </x:c>
      <x:c r="C253" s="18" t="n">
        <x:v>11</x:v>
      </x:c>
      <x:c r="D253" s="19" t="str">
        <x:v>legacy</x:v>
      </x:c>
      <x:c r="E253" s="19" t="str">
        <x:v>每瓶一次；每配方12次</x:v>
      </x:c>
      <x:c r="F253" s="19" t="str">
        <x:v>FlowMeter</x:v>
      </x:c>
      <x:c r="G253" s="19" t="str"/>
      <x:c r="H253" s="19" t="str">
        <x:v>03 00 20 00 02；解码={"cacheStartByte":2,"cacheLength":4,"cacheEndian":"big","valueType":"int"}</x:v>
      </x:c>
      <x:c r="I253" s="19" t="str">
        <x:v>缓存bottleCount</x:v>
      </x:c>
      <x:c r="J253" s="19" t="str"/>
      <x:c r="K253" s="19" t="str"/>
      <x:c r="L253" s="19" t="str"/>
      <x:c r="M253" s="19" t="str">
        <x:v>candidate:layered/L3_group/step_03_bottle_position_detection.group.json</x:v>
      </x:c>
    </x:row>
    <x:row r="254" ht="34.5" customHeight="1">
      <x:c r="A254" s="15" t="str">
        <x:v>apple_small</x:v>
      </x:c>
      <x:c r="B254" s="17" t="n">
        <x:v>3</x:v>
      </x:c>
      <x:c r="C254" s="17" t="n">
        <x:v>12</x:v>
      </x:c>
      <x:c r="D254" s="15" t="str">
        <x:v>legacy</x:v>
      </x:c>
      <x:c r="E254" s="15" t="str">
        <x:v>每瓶一次；每配方12次</x:v>
      </x:c>
      <x:c r="F254" s="15" t="str"/>
      <x:c r="G254" s="15" t="str"/>
      <x:c r="H254" s="15" t="str">
        <x:v>BottleState</x:v>
      </x:c>
      <x:c r="I254" s="15" t="str">
        <x:v>更新UI=all ready</x:v>
      </x:c>
      <x:c r="J254" s="15" t="str"/>
      <x:c r="K254" s="15" t="str"/>
      <x:c r="L254" s="15" t="str"/>
      <x:c r="M254" s="15" t="str">
        <x:v>candidate:layered/L3_group/step_03_bottle_position_detection.group.json</x:v>
      </x:c>
    </x:row>
    <x:row r="255" ht="34.5" customHeight="1">
      <x:c r="A255" s="19" t="str">
        <x:v>apple_small</x:v>
      </x:c>
      <x:c r="B255" s="18" t="n">
        <x:v>4</x:v>
      </x:c>
      <x:c r="C255" s="18" t="n">
        <x:v>1</x:v>
      </x:c>
      <x:c r="D255" s="19" t="str">
        <x:v>legacy</x:v>
      </x:c>
      <x:c r="E255" s="19" t="str">
        <x:v>每瓶一次；每配方12次</x:v>
      </x:c>
      <x:c r="F255" s="19" t="str"/>
      <x:c r="G255" s="19" t="str"/>
      <x:c r="H255" s="19" t="str">
        <x:v>stage</x:v>
      </x:c>
      <x:c r="I255" s="19" t="str">
        <x:v>更新UI=04</x:v>
      </x:c>
      <x:c r="J255" s="19" t="str"/>
      <x:c r="K255" s="19" t="str"/>
      <x:c r="L255" s="19" t="str"/>
      <x:c r="M255" s="19" t="str">
        <x:v>candidate:layered/L3_group/step_04_in_bottle_rinsing.group.json</x:v>
      </x:c>
    </x:row>
    <x:row r="256" ht="34.5" customHeight="1">
      <x:c r="A256" s="15" t="str">
        <x:v>apple_small</x:v>
      </x:c>
      <x:c r="B256" s="17" t="n">
        <x:v>4</x:v>
      </x:c>
      <x:c r="C256" s="17" t="n">
        <x:v>2</x:v>
      </x:c>
      <x:c r="D256" s="15" t="str">
        <x:v>move</x:v>
      </x:c>
      <x:c r="E256" s="15" t="str">
        <x:v>每瓶一次；每配方12次</x:v>
      </x:c>
      <x:c r="F256" s="15" t="str">
        <x:v>X / Y1 / Y2 / Z</x:v>
      </x:c>
      <x:c r="G256" s="15" t="n">
        <x:v>33</x:v>
      </x:c>
      <x:c r="H256" s="15" t="str">
        <x:v>empty_entry</x:v>
      </x:c>
      <x:c r="I256" s="15" t="str">
        <x:v>移动至 small empty entry；PR=(3,3,3,1)；仅变化轴触发</x:v>
      </x:c>
      <x:c r="J256" s="15" t="str">
        <x:v>四电机各20ms轮询/4000ms截止</x:v>
      </x:c>
      <x:c r="K256" s="15" t="str">
        <x:v>全部就绪；缓存四位置；UI使用X/Y1/Z</x:v>
      </x:c>
      <x:c r="L256" s="15" t="str">
        <x:v>MOTION_TIMEOUT</x:v>
      </x:c>
      <x:c r="M256" s="15" t="str">
        <x:v>candidate:layered/L3_group/step_04_in_bottle_rinsing.group.json</x:v>
      </x:c>
    </x:row>
    <x:row r="257" ht="34.5" customHeight="1">
      <x:c r="A257" s="19" t="str">
        <x:v>apple_small</x:v>
      </x:c>
      <x:c r="B257" s="18" t="n">
        <x:v>4</x:v>
      </x:c>
      <x:c r="C257" s="18" t="n">
        <x:v>3</x:v>
      </x:c>
      <x:c r="D257" s="19" t="str">
        <x:v>move</x:v>
      </x:c>
      <x:c r="E257" s="19" t="str">
        <x:v>每瓶一次；每配方12次</x:v>
      </x:c>
      <x:c r="F257" s="19" t="str">
        <x:v>X / Y1 / Y2 / Z</x:v>
      </x:c>
      <x:c r="G257" s="19" t="n">
        <x:v>35</x:v>
      </x:c>
      <x:c r="H257" s="19" t="str">
        <x:v>rinse_entry</x:v>
      </x:c>
      <x:c r="I257" s="19" t="str">
        <x:v>移动至 small rinse entry；PR=(13,3,3,1)；仅变化轴触发</x:v>
      </x:c>
      <x:c r="J257" s="19" t="str">
        <x:v>四电机各20ms轮询/4000ms截止</x:v>
      </x:c>
      <x:c r="K257" s="19" t="str">
        <x:v>全部就绪；缓存四位置；UI使用X/Y1/Z</x:v>
      </x:c>
      <x:c r="L257" s="19" t="str">
        <x:v>MOTION_TIMEOUT</x:v>
      </x:c>
      <x:c r="M257" s="19" t="str">
        <x:v>candidate:layered/L3_group/step_04_in_bottle_rinsing.group.json</x:v>
      </x:c>
    </x:row>
    <x:row r="258" ht="34.5" customHeight="1">
      <x:c r="A258" s="15" t="str">
        <x:v>apple_small</x:v>
      </x:c>
      <x:c r="B258" s="17" t="n">
        <x:v>4</x:v>
      </x:c>
      <x:c r="C258" s="17" t="n">
        <x:v>4</x:v>
      </x:c>
      <x:c r="D258" s="15" t="str">
        <x:v>move</x:v>
      </x:c>
      <x:c r="E258" s="15" t="str">
        <x:v>每瓶一次；每配方12次</x:v>
      </x:c>
      <x:c r="F258" s="15" t="str">
        <x:v>X / Y1 / Y2 / Z</x:v>
      </x:c>
      <x:c r="G258" s="15" t="n">
        <x:v>36</x:v>
      </x:c>
      <x:c r="H258" s="15" t="str">
        <x:v>rinse_work</x:v>
      </x:c>
      <x:c r="I258" s="15" t="str">
        <x:v>移动至 small rinse work；PR=(13,3,3,4)；仅变化轴触发</x:v>
      </x:c>
      <x:c r="J258" s="15" t="str">
        <x:v>四电机各20ms轮询/4000ms截止</x:v>
      </x:c>
      <x:c r="K258" s="15" t="str">
        <x:v>全部就绪；缓存四位置；UI使用X/Y1/Z</x:v>
      </x:c>
      <x:c r="L258" s="15" t="str">
        <x:v>MOTION_TIMEOUT</x:v>
      </x:c>
      <x:c r="M258" s="15" t="str">
        <x:v>candidate:layered/L3_group/step_04_in_bottle_rinsing.group.json</x:v>
      </x:c>
    </x:row>
    <x:row r="259" ht="34.5" customHeight="1">
      <x:c r="A259" s="19" t="str">
        <x:v>apple_small</x:v>
      </x:c>
      <x:c r="B259" s="18" t="n">
        <x:v>4</x:v>
      </x:c>
      <x:c r="C259" s="18" t="n">
        <x:v>5</x:v>
      </x:c>
      <x:c r="D259" s="19" t="str">
        <x:v>legacy</x:v>
      </x:c>
      <x:c r="E259" s="19" t="str">
        <x:v>每瓶一次；每配方12次</x:v>
      </x:c>
      <x:c r="F259" s="19" t="str">
        <x:v>RinseValve</x:v>
      </x:c>
      <x:c r="G259" s="19" t="str"/>
      <x:c r="H259" s="19" t="str">
        <x:v>05 00 12 FF 00</x:v>
      </x:c>
      <x:c r="I259" s="19" t="str">
        <x:v>open Rinse valve</x:v>
      </x:c>
      <x:c r="J259" s="19" t="str"/>
      <x:c r="K259" s="19" t="str">
        <x:v>响应回显=05 00 12 FF 00</x:v>
      </x:c>
      <x:c r="L259" s="19" t="str"/>
      <x:c r="M259" s="19" t="str">
        <x:v>candidate:layered/L3_group/step_04_in_bottle_rinsing.group.json</x:v>
      </x:c>
    </x:row>
    <x:row r="260" ht="34.5" customHeight="1">
      <x:c r="A260" s="15" t="str">
        <x:v>apple_small</x:v>
      </x:c>
      <x:c r="B260" s="17" t="n">
        <x:v>4</x:v>
      </x:c>
      <x:c r="C260" s="17" t="n">
        <x:v>6</x:v>
      </x:c>
      <x:c r="D260" s="15" t="str">
        <x:v>legacy</x:v>
      </x:c>
      <x:c r="E260" s="15" t="str">
        <x:v>每瓶一次；每配方12次</x:v>
      </x:c>
      <x:c r="F260" s="15" t="str"/>
      <x:c r="G260" s="15" t="str"/>
      <x:c r="H260" s="15" t="str"/>
      <x:c r="I260" s="15" t="str">
        <x:v>显式等待(ms)</x:v>
      </x:c>
      <x:c r="J260" s="15" t="n">
        <x:v>5000</x:v>
      </x:c>
      <x:c r="K260" s="15" t="str"/>
      <x:c r="L260" s="15" t="str"/>
      <x:c r="M260" s="15" t="str">
        <x:v>candidate:layered/L3_group/step_04_in_bottle_rinsing.group.json</x:v>
      </x:c>
    </x:row>
    <x:row r="261" ht="34.5" customHeight="1">
      <x:c r="A261" s="19" t="str">
        <x:v>apple_small</x:v>
      </x:c>
      <x:c r="B261" s="18" t="n">
        <x:v>4</x:v>
      </x:c>
      <x:c r="C261" s="18" t="n">
        <x:v>7</x:v>
      </x:c>
      <x:c r="D261" s="19" t="str">
        <x:v>legacy</x:v>
      </x:c>
      <x:c r="E261" s="19" t="str">
        <x:v>每瓶一次；每配方12次</x:v>
      </x:c>
      <x:c r="F261" s="19" t="str">
        <x:v>RinseValve</x:v>
      </x:c>
      <x:c r="G261" s="19" t="str"/>
      <x:c r="H261" s="19" t="str">
        <x:v>05 00 12 00 00</x:v>
      </x:c>
      <x:c r="I261" s="19" t="str">
        <x:v>close Rinse valve</x:v>
      </x:c>
      <x:c r="J261" s="19" t="str"/>
      <x:c r="K261" s="19" t="str">
        <x:v>响应回显=05 00 12 00 00</x:v>
      </x:c>
      <x:c r="L261" s="19" t="str"/>
      <x:c r="M261" s="19" t="str">
        <x:v>candidate:layered/L3_group/step_04_in_bottle_rinsing.group.json</x:v>
      </x:c>
    </x:row>
    <x:row r="262" ht="34.5" customHeight="1">
      <x:c r="A262" s="15" t="str">
        <x:v>apple_small</x:v>
      </x:c>
      <x:c r="B262" s="17" t="n">
        <x:v>4</x:v>
      </x:c>
      <x:c r="C262" s="17" t="n">
        <x:v>8</x:v>
      </x:c>
      <x:c r="D262" s="15" t="str">
        <x:v>legacy</x:v>
      </x:c>
      <x:c r="E262" s="15" t="str">
        <x:v>每瓶一次；每配方12次</x:v>
      </x:c>
      <x:c r="F262" s="15" t="str">
        <x:v>PressureSensor</x:v>
      </x:c>
      <x:c r="G262" s="15" t="str"/>
      <x:c r="H262" s="15" t="str">
        <x:v>03 00 10 00 02；解码={"valueStartByte":2,"valueLength":4,"valueEndian":"little","valueType":"float"}</x:v>
      </x:c>
      <x:c r="I262" s="15" t="str">
        <x:v>check Rinse pressure&gt;=0.2MPa</x:v>
      </x:c>
      <x:c r="J262" s="15" t="str"/>
      <x:c r="K262" s="15" t="str">
        <x:v>greaterOrEqual 0.2</x:v>
      </x:c>
      <x:c r="L262" s="15" t="str">
        <x:v>RINSE_PRESSURE_LOW</x:v>
      </x:c>
      <x:c r="M262" s="15" t="str">
        <x:v>candidate:layered/L3_group/step_04_in_bottle_rinsing.group.json</x:v>
      </x:c>
    </x:row>
    <x:row r="263" ht="34.5" customHeight="1">
      <x:c r="A263" s="19" t="str">
        <x:v>apple_small</x:v>
      </x:c>
      <x:c r="B263" s="18" t="n">
        <x:v>4</x:v>
      </x:c>
      <x:c r="C263" s="18" t="n">
        <x:v>9</x:v>
      </x:c>
      <x:c r="D263" s="19" t="str">
        <x:v>legacy</x:v>
      </x:c>
      <x:c r="E263" s="19" t="str">
        <x:v>每瓶一次；每配方12次</x:v>
      </x:c>
      <x:c r="F263" s="19" t="str">
        <x:v>CIPValve</x:v>
      </x:c>
      <x:c r="G263" s="19" t="str"/>
      <x:c r="H263" s="19" t="str">
        <x:v>05 00 13 FF 00</x:v>
      </x:c>
      <x:c r="I263" s="19" t="str">
        <x:v>open Sanitize valve</x:v>
      </x:c>
      <x:c r="J263" s="19" t="str"/>
      <x:c r="K263" s="19" t="str">
        <x:v>响应回显=05 00 13 FF 00</x:v>
      </x:c>
      <x:c r="L263" s="19" t="str"/>
      <x:c r="M263" s="19" t="str">
        <x:v>candidate:layered/L3_group/step_04_in_bottle_rinsing.group.json</x:v>
      </x:c>
    </x:row>
    <x:row r="264" ht="34.5" customHeight="1">
      <x:c r="A264" s="15" t="str">
        <x:v>apple_small</x:v>
      </x:c>
      <x:c r="B264" s="17" t="n">
        <x:v>4</x:v>
      </x:c>
      <x:c r="C264" s="17" t="n">
        <x:v>10</x:v>
      </x:c>
      <x:c r="D264" s="15" t="str">
        <x:v>legacy</x:v>
      </x:c>
      <x:c r="E264" s="15" t="str">
        <x:v>每瓶一次；每配方12次</x:v>
      </x:c>
      <x:c r="F264" s="15" t="str"/>
      <x:c r="G264" s="15" t="str"/>
      <x:c r="H264" s="15" t="str"/>
      <x:c r="I264" s="15" t="str">
        <x:v>显式等待(ms)</x:v>
      </x:c>
      <x:c r="J264" s="15" t="n">
        <x:v>3000</x:v>
      </x:c>
      <x:c r="K264" s="15" t="str"/>
      <x:c r="L264" s="15" t="str"/>
      <x:c r="M264" s="15" t="str">
        <x:v>candidate:layered/L3_group/step_04_in_bottle_rinsing.group.json</x:v>
      </x:c>
    </x:row>
    <x:row r="265" ht="34.5" customHeight="1">
      <x:c r="A265" s="19" t="str">
        <x:v>apple_small</x:v>
      </x:c>
      <x:c r="B265" s="18" t="n">
        <x:v>4</x:v>
      </x:c>
      <x:c r="C265" s="18" t="n">
        <x:v>11</x:v>
      </x:c>
      <x:c r="D265" s="19" t="str">
        <x:v>legacy</x:v>
      </x:c>
      <x:c r="E265" s="19" t="str">
        <x:v>每瓶一次；每配方12次</x:v>
      </x:c>
      <x:c r="F265" s="19" t="str">
        <x:v>CIPValve</x:v>
      </x:c>
      <x:c r="G265" s="19" t="str"/>
      <x:c r="H265" s="19" t="str">
        <x:v>05 00 13 00 00</x:v>
      </x:c>
      <x:c r="I265" s="19" t="str">
        <x:v>close Sanitize valve</x:v>
      </x:c>
      <x:c r="J265" s="19" t="str"/>
      <x:c r="K265" s="19" t="str">
        <x:v>响应回显=05 00 13 00 00</x:v>
      </x:c>
      <x:c r="L265" s="19" t="str"/>
      <x:c r="M265" s="19" t="str">
        <x:v>candidate:layered/L3_group/step_04_in_bottle_rinsing.group.json</x:v>
      </x:c>
    </x:row>
    <x:row r="266" ht="34.5" customHeight="1">
      <x:c r="A266" s="15" t="str">
        <x:v>apple_small</x:v>
      </x:c>
      <x:c r="B266" s="17" t="n">
        <x:v>4</x:v>
      </x:c>
      <x:c r="C266" s="17" t="n">
        <x:v>12</x:v>
      </x:c>
      <x:c r="D266" s="15" t="str">
        <x:v>legacy</x:v>
      </x:c>
      <x:c r="E266" s="15" t="str">
        <x:v>每瓶一次；每配方12次</x:v>
      </x:c>
      <x:c r="F266" s="15" t="str">
        <x:v>CIPValve</x:v>
      </x:c>
      <x:c r="G266" s="15" t="str"/>
      <x:c r="H266" s="15" t="str">
        <x:v>05 00 14 FF 00</x:v>
      </x:c>
      <x:c r="I266" s="15" t="str">
        <x:v>open Drain valve</x:v>
      </x:c>
      <x:c r="J266" s="15" t="str"/>
      <x:c r="K266" s="15" t="str">
        <x:v>响应回显=05 00 14 FF 00</x:v>
      </x:c>
      <x:c r="L266" s="15" t="str"/>
      <x:c r="M266" s="15" t="str">
        <x:v>candidate:layered/L3_group/step_04_in_bottle_rinsing.group.json</x:v>
      </x:c>
    </x:row>
    <x:row r="267" ht="34.5" customHeight="1">
      <x:c r="A267" s="19" t="str">
        <x:v>apple_small</x:v>
      </x:c>
      <x:c r="B267" s="18" t="n">
        <x:v>4</x:v>
      </x:c>
      <x:c r="C267" s="18" t="n">
        <x:v>13</x:v>
      </x:c>
      <x:c r="D267" s="19" t="str">
        <x:v>legacy</x:v>
      </x:c>
      <x:c r="E267" s="19" t="str">
        <x:v>每瓶一次；每配方12次</x:v>
      </x:c>
      <x:c r="F267" s="19" t="str"/>
      <x:c r="G267" s="19" t="str"/>
      <x:c r="H267" s="19" t="str"/>
      <x:c r="I267" s="19" t="str">
        <x:v>显式等待(ms)</x:v>
      </x:c>
      <x:c r="J267" s="19" t="n">
        <x:v>3000</x:v>
      </x:c>
      <x:c r="K267" s="19" t="str"/>
      <x:c r="L267" s="19" t="str"/>
      <x:c r="M267" s="19" t="str">
        <x:v>candidate:layered/L3_group/step_04_in_bottle_rinsing.group.json</x:v>
      </x:c>
    </x:row>
    <x:row r="268" ht="34.5" customHeight="1">
      <x:c r="A268" s="15" t="str">
        <x:v>apple_small</x:v>
      </x:c>
      <x:c r="B268" s="17" t="n">
        <x:v>4</x:v>
      </x:c>
      <x:c r="C268" s="17" t="n">
        <x:v>14</x:v>
      </x:c>
      <x:c r="D268" s="15" t="str">
        <x:v>legacy</x:v>
      </x:c>
      <x:c r="E268" s="15" t="str">
        <x:v>每瓶一次；每配方12次</x:v>
      </x:c>
      <x:c r="F268" s="15" t="str">
        <x:v>CIPValve</x:v>
      </x:c>
      <x:c r="G268" s="15" t="str"/>
      <x:c r="H268" s="15" t="str">
        <x:v>05 00 14 00 00</x:v>
      </x:c>
      <x:c r="I268" s="15" t="str">
        <x:v>close Drain valve</x:v>
      </x:c>
      <x:c r="J268" s="15" t="str"/>
      <x:c r="K268" s="15" t="str">
        <x:v>响应回显=05 00 14 00 00</x:v>
      </x:c>
      <x:c r="L268" s="15" t="str"/>
      <x:c r="M268" s="15" t="str">
        <x:v>candidate:layered/L3_group/step_04_in_bottle_rinsing.group.json</x:v>
      </x:c>
    </x:row>
    <x:row r="269" ht="34.5" customHeight="1">
      <x:c r="A269" s="19" t="str">
        <x:v>apple_small</x:v>
      </x:c>
      <x:c r="B269" s="18" t="n">
        <x:v>4</x:v>
      </x:c>
      <x:c r="C269" s="18" t="n">
        <x:v>15</x:v>
      </x:c>
      <x:c r="D269" s="19" t="str">
        <x:v>legacy</x:v>
      </x:c>
      <x:c r="E269" s="19" t="str">
        <x:v>每瓶一次；每配方12次</x:v>
      </x:c>
      <x:c r="F269" s="19" t="str"/>
      <x:c r="G269" s="19" t="str"/>
      <x:c r="H269" s="19" t="str">
        <x:v>WashState</x:v>
      </x:c>
      <x:c r="I269" s="19" t="str">
        <x:v>更新UI=done</x:v>
      </x:c>
      <x:c r="J269" s="19" t="str"/>
      <x:c r="K269" s="19" t="str"/>
      <x:c r="L269" s="19" t="str"/>
      <x:c r="M269" s="19" t="str">
        <x:v>candidate:layered/L3_group/step_04_in_bottle_rinsing.group.json</x:v>
      </x:c>
    </x:row>
    <x:row r="270" ht="34.5" customHeight="1">
      <x:c r="A270" s="15" t="str">
        <x:v>apple_small</x:v>
      </x:c>
      <x:c r="B270" s="17" t="n">
        <x:v>4</x:v>
      </x:c>
      <x:c r="C270" s="17" t="n">
        <x:v>16</x:v>
      </x:c>
      <x:c r="D270" s="15" t="str">
        <x:v>move</x:v>
      </x:c>
      <x:c r="E270" s="15" t="str">
        <x:v>每瓶一次；每配方12次</x:v>
      </x:c>
      <x:c r="F270" s="15" t="str">
        <x:v>X / Y1 / Y2 / Z</x:v>
      </x:c>
      <x:c r="G270" s="15" t="n">
        <x:v>35</x:v>
      </x:c>
      <x:c r="H270" s="15" t="str">
        <x:v>rinse_entry</x:v>
      </x:c>
      <x:c r="I270" s="15" t="str">
        <x:v>移动至 small rinse entry；PR=(13,3,3,1)；仅变化轴触发</x:v>
      </x:c>
      <x:c r="J270" s="15" t="str">
        <x:v>四电机各20ms轮询/4000ms截止</x:v>
      </x:c>
      <x:c r="K270" s="15" t="str">
        <x:v>全部就绪；缓存四位置；UI使用X/Y1/Z</x:v>
      </x:c>
      <x:c r="L270" s="15" t="str">
        <x:v>MOTION_TIMEOUT</x:v>
      </x:c>
      <x:c r="M270" s="15" t="str">
        <x:v>candidate:layered/L3_group/step_04_in_bottle_rinsing.group.json</x:v>
      </x:c>
    </x:row>
    <x:row r="271" ht="34.5" customHeight="1">
      <x:c r="A271" s="19" t="str">
        <x:v>apple_small</x:v>
      </x:c>
      <x:c r="B271" s="18" t="n">
        <x:v>5</x:v>
      </x:c>
      <x:c r="C271" s="18" t="n">
        <x:v>1</x:v>
      </x:c>
      <x:c r="D271" s="19" t="str">
        <x:v>legacy</x:v>
      </x:c>
      <x:c r="E271" s="19" t="str">
        <x:v>每瓶一次；每配方12次</x:v>
      </x:c>
      <x:c r="F271" s="19" t="str"/>
      <x:c r="G271" s="19" t="str"/>
      <x:c r="H271" s="19" t="str">
        <x:v>stage</x:v>
      </x:c>
      <x:c r="I271" s="19" t="str">
        <x:v>更新UI=05</x:v>
      </x:c>
      <x:c r="J271" s="19" t="str"/>
      <x:c r="K271" s="19" t="str"/>
      <x:c r="L271" s="19" t="str"/>
      <x:c r="M271" s="19" t="str">
        <x:v>candidate:layered/L3_group/step_05_filling_positioning.group.json</x:v>
      </x:c>
    </x:row>
    <x:row r="272" ht="34.5" customHeight="1">
      <x:c r="A272" s="15" t="str">
        <x:v>apple_small</x:v>
      </x:c>
      <x:c r="B272" s="17" t="n">
        <x:v>5</x:v>
      </x:c>
      <x:c r="C272" s="17" t="n">
        <x:v>2</x:v>
      </x:c>
      <x:c r="D272" s="15" t="str">
        <x:v>move</x:v>
      </x:c>
      <x:c r="E272" s="15" t="str">
        <x:v>每瓶一次；每配方12次</x:v>
      </x:c>
      <x:c r="F272" s="15" t="str">
        <x:v>X / Y1 / Y2 / Z</x:v>
      </x:c>
      <x:c r="G272" s="15" t="n">
        <x:v>45</x:v>
      </x:c>
      <x:c r="H272" s="15" t="str">
        <x:v>fill_entry</x:v>
      </x:c>
      <x:c r="I272" s="15" t="str">
        <x:v>移动至 apple small fill entry；PR=(5,12,12,1)；仅变化轴触发</x:v>
      </x:c>
      <x:c r="J272" s="15" t="str">
        <x:v>四电机各20ms轮询/4000ms截止</x:v>
      </x:c>
      <x:c r="K272" s="15" t="str">
        <x:v>全部就绪；缓存四位置；UI使用X/Y1/Z</x:v>
      </x:c>
      <x:c r="L272" s="15" t="str">
        <x:v>MOTION_TIMEOUT</x:v>
      </x:c>
      <x:c r="M272" s="15" t="str">
        <x:v>candidate:layered/L3_group/step_05_filling_positioning.group.json</x:v>
      </x:c>
    </x:row>
    <x:row r="273" ht="34.5" customHeight="1">
      <x:c r="A273" s="19" t="str">
        <x:v>apple_small</x:v>
      </x:c>
      <x:c r="B273" s="18" t="n">
        <x:v>5</x:v>
      </x:c>
      <x:c r="C273" s="18" t="n">
        <x:v>3</x:v>
      </x:c>
      <x:c r="D273" s="19" t="str">
        <x:v>move</x:v>
      </x:c>
      <x:c r="E273" s="19" t="str">
        <x:v>每瓶一次；每配方12次</x:v>
      </x:c>
      <x:c r="F273" s="19" t="str">
        <x:v>X / Y1 / Y2 / Z</x:v>
      </x:c>
      <x:c r="G273" s="19" t="n">
        <x:v>46</x:v>
      </x:c>
      <x:c r="H273" s="19" t="str">
        <x:v>fill_work</x:v>
      </x:c>
      <x:c r="I273" s="19" t="str">
        <x:v>移动至 apple small fill work；PR=(5,12,12,4)；仅变化轴触发</x:v>
      </x:c>
      <x:c r="J273" s="19" t="str">
        <x:v>四电机各20ms轮询/4000ms截止</x:v>
      </x:c>
      <x:c r="K273" s="19" t="str">
        <x:v>全部就绪；缓存四位置；UI使用X/Y1/Z</x:v>
      </x:c>
      <x:c r="L273" s="19" t="str">
        <x:v>MOTION_TIMEOUT</x:v>
      </x:c>
      <x:c r="M273" s="19" t="str">
        <x:v>candidate:layered/L3_group/step_05_filling_positioning.group.json</x:v>
      </x:c>
    </x:row>
    <x:row r="274" ht="34.5" customHeight="1">
      <x:c r="A274" s="15" t="str">
        <x:v>apple_small</x:v>
      </x:c>
      <x:c r="B274" s="17" t="n">
        <x:v>5</x:v>
      </x:c>
      <x:c r="C274" s="17" t="n">
        <x:v>4</x:v>
      </x:c>
      <x:c r="D274" s="15" t="str">
        <x:v>legacy</x:v>
      </x:c>
      <x:c r="E274" s="15" t="str">
        <x:v>每瓶一次；每配方12次</x:v>
      </x:c>
      <x:c r="F274" s="15" t="str">
        <x:v>BottleSensor</x:v>
      </x:c>
      <x:c r="G274" s="15" t="str"/>
      <x:c r="H274" s="15" t="str">
        <x:v>04 00 42 00 01</x:v>
      </x:c>
      <x:c r="I274" s="15" t="str">
        <x:v>Check station 1 arrival</x:v>
      </x:c>
      <x:c r="J274" s="15" t="str">
        <x:v>每50ms；截止3000ms</x:v>
      </x:c>
      <x:c r="K274" s="15" t="str">
        <x:v>04 02 00 01</x:v>
      </x:c>
      <x:c r="L274" s="15" t="str">
        <x:v>FILL1_POS_TIMEOUT</x:v>
      </x:c>
      <x:c r="M274" s="15" t="str">
        <x:v>candidate:layered/L3_group/step_05_filling_positioning.group.json</x:v>
      </x:c>
    </x:row>
    <x:row r="275" ht="34.5" customHeight="1">
      <x:c r="A275" s="19" t="str">
        <x:v>apple_small</x:v>
      </x:c>
      <x:c r="B275" s="18" t="n">
        <x:v>5</x:v>
      </x:c>
      <x:c r="C275" s="18" t="n">
        <x:v>5</x:v>
      </x:c>
      <x:c r="D275" s="19" t="str">
        <x:v>legacy</x:v>
      </x:c>
      <x:c r="E275" s="19" t="str">
        <x:v>每瓶一次；每配方12次</x:v>
      </x:c>
      <x:c r="F275" s="19" t="str">
        <x:v>BottleSensor</x:v>
      </x:c>
      <x:c r="G275" s="19" t="str"/>
      <x:c r="H275" s="19" t="str">
        <x:v>04 00 43 00 01</x:v>
      </x:c>
      <x:c r="I275" s="19" t="str">
        <x:v>Check station 2 arrival</x:v>
      </x:c>
      <x:c r="J275" s="19" t="str">
        <x:v>每50ms；截止3000ms</x:v>
      </x:c>
      <x:c r="K275" s="19" t="str">
        <x:v>04 02 00 01</x:v>
      </x:c>
      <x:c r="L275" s="19" t="str">
        <x:v>FILL2_POS_TIMEOUT</x:v>
      </x:c>
      <x:c r="M275" s="19" t="str">
        <x:v>candidate:layered/L3_group/step_05_filling_positioning.group.json</x:v>
      </x:c>
    </x:row>
    <x:row r="276" ht="34.5" customHeight="1">
      <x:c r="A276" s="15" t="str">
        <x:v>apple_small</x:v>
      </x:c>
      <x:c r="B276" s="17" t="n">
        <x:v>5</x:v>
      </x:c>
      <x:c r="C276" s="17" t="n">
        <x:v>6</x:v>
      </x:c>
      <x:c r="D276" s="15" t="str">
        <x:v>legacy</x:v>
      </x:c>
      <x:c r="E276" s="15" t="str">
        <x:v>每瓶一次；每配方12次</x:v>
      </x:c>
      <x:c r="F276" s="15" t="str">
        <x:v>BottleSensor</x:v>
      </x:c>
      <x:c r="G276" s="15" t="str"/>
      <x:c r="H276" s="15" t="str">
        <x:v>04 00 44 00 01</x:v>
      </x:c>
      <x:c r="I276" s="15" t="str">
        <x:v>Check station 3 arrival</x:v>
      </x:c>
      <x:c r="J276" s="15" t="str">
        <x:v>每50ms；截止3000ms</x:v>
      </x:c>
      <x:c r="K276" s="15" t="str">
        <x:v>04 02 00 01</x:v>
      </x:c>
      <x:c r="L276" s="15" t="str">
        <x:v>FILL3_POS_TIMEOUT</x:v>
      </x:c>
      <x:c r="M276" s="15" t="str">
        <x:v>candidate:layered/L3_group/step_05_filling_positioning.group.json</x:v>
      </x:c>
    </x:row>
    <x:row r="277" ht="34.5" customHeight="1">
      <x:c r="A277" s="19" t="str">
        <x:v>apple_small</x:v>
      </x:c>
      <x:c r="B277" s="18" t="n">
        <x:v>5</x:v>
      </x:c>
      <x:c r="C277" s="18" t="n">
        <x:v>7</x:v>
      </x:c>
      <x:c r="D277" s="19" t="str">
        <x:v>legacy</x:v>
      </x:c>
      <x:c r="E277" s="19" t="str">
        <x:v>每瓶一次；每配方12次</x:v>
      </x:c>
      <x:c r="F277" s="19" t="str">
        <x:v>BottleSensor</x:v>
      </x:c>
      <x:c r="G277" s="19" t="str"/>
      <x:c r="H277" s="19" t="str">
        <x:v>04 00 45 00 01</x:v>
      </x:c>
      <x:c r="I277" s="19" t="str">
        <x:v>Check station 4 arrival</x:v>
      </x:c>
      <x:c r="J277" s="19" t="str">
        <x:v>每50ms；截止3000ms</x:v>
      </x:c>
      <x:c r="K277" s="19" t="str">
        <x:v>04 02 00 01</x:v>
      </x:c>
      <x:c r="L277" s="19" t="str">
        <x:v>FILL4_POS_TIMEOUT</x:v>
      </x:c>
      <x:c r="M277" s="19" t="str">
        <x:v>candidate:layered/L3_group/step_05_filling_positioning.group.json</x:v>
      </x:c>
    </x:row>
    <x:row r="278" ht="22.5" customHeight="1">
      <x:c r="A278" s="15" t="str">
        <x:v>apple_small</x:v>
      </x:c>
      <x:c r="B278" s="17" t="n">
        <x:v>6</x:v>
      </x:c>
      <x:c r="C278" s="17" t="n">
        <x:v>1</x:v>
      </x:c>
      <x:c r="D278" s="15" t="str">
        <x:v>legacy</x:v>
      </x:c>
      <x:c r="E278" s="15" t="str">
        <x:v>每瓶一次；每配方12次</x:v>
      </x:c>
      <x:c r="F278" s="15" t="str"/>
      <x:c r="G278" s="15" t="str"/>
      <x:c r="H278" s="15" t="str">
        <x:v>stage</x:v>
      </x:c>
      <x:c r="I278" s="15" t="str">
        <x:v>更新UI=06</x:v>
      </x:c>
      <x:c r="J278" s="15" t="str"/>
      <x:c r="K278" s="15" t="str"/>
      <x:c r="L278" s="15" t="str"/>
      <x:c r="M278" s="15" t="str">
        <x:v>candidate:layered/L3_group/step_06_filling.group.json</x:v>
      </x:c>
    </x:row>
    <x:row r="279" ht="22.5" customHeight="1">
      <x:c r="A279" s="19" t="str">
        <x:v>apple_small</x:v>
      </x:c>
      <x:c r="B279" s="18" t="n">
        <x:v>6</x:v>
      </x:c>
      <x:c r="C279" s="18" t="n">
        <x:v>2</x:v>
      </x:c>
      <x:c r="D279" s="19" t="str">
        <x:v>legacy</x:v>
      </x:c>
      <x:c r="E279" s="19" t="str">
        <x:v>每瓶一次；每配方12次</x:v>
      </x:c>
      <x:c r="F279" s="19" t="str">
        <x:v>FlowMeter</x:v>
      </x:c>
      <x:c r="G279" s="19" t="str"/>
      <x:c r="H279" s="19" t="str">
        <x:v>06 00 01 00 00</x:v>
      </x:c>
      <x:c r="I279" s="19" t="str">
        <x:v>Write FlowMeter register 0001</x:v>
      </x:c>
      <x:c r="J279" s="19" t="str"/>
      <x:c r="K279" s="19" t="str">
        <x:v>响应回显=06 00 01 00 00</x:v>
      </x:c>
      <x:c r="L279" s="19" t="str"/>
      <x:c r="M279" s="19" t="str">
        <x:v>candidate:layered/L3_group/step_06_filling.group.json</x:v>
      </x:c>
    </x:row>
    <x:row r="280" ht="22.5" customHeight="1">
      <x:c r="A280" s="15" t="str">
        <x:v>apple_small</x:v>
      </x:c>
      <x:c r="B280" s="17" t="n">
        <x:v>6</x:v>
      </x:c>
      <x:c r="C280" s="17" t="n">
        <x:v>3</x:v>
      </x:c>
      <x:c r="D280" s="15" t="str">
        <x:v>volume</x:v>
      </x:c>
      <x:c r="E280" s="15" t="str">
        <x:v>每瓶一次；每配方12次</x:v>
      </x:c>
      <x:c r="F280" s="15" t="str">
        <x:v>AppleFill</x:v>
      </x:c>
      <x:c r="G280" s="15" t="str"/>
      <x:c r="H280" s="15" t="str">
        <x:v>FC06 0x0010</x:v>
      </x:c>
      <x:c r="I280" s="15" t="str">
        <x:v>设置容量mL=250</x:v>
      </x:c>
      <x:c r="J280" s="15" t="str"/>
      <x:c r="K280" s="15" t="str">
        <x:v>写入响应回显</x:v>
      </x:c>
      <x:c r="L280" s="15" t="str"/>
      <x:c r="M280" s="15" t="str">
        <x:v>candidate:layered/L3_group/step_06_filling.group.json</x:v>
      </x:c>
    </x:row>
    <x:row r="281" ht="22.5" customHeight="1">
      <x:c r="A281" s="19" t="str">
        <x:v>apple_small</x:v>
      </x:c>
      <x:c r="B281" s="18" t="n">
        <x:v>6</x:v>
      </x:c>
      <x:c r="C281" s="18" t="n">
        <x:v>4</x:v>
      </x:c>
      <x:c r="D281" s="19" t="str">
        <x:v>fill_time</x:v>
      </x:c>
      <x:c r="E281" s="19" t="str">
        <x:v>每瓶一次；每配方12次</x:v>
      </x:c>
      <x:c r="F281" s="19" t="str">
        <x:v>AppleFill</x:v>
      </x:c>
      <x:c r="G281" s="19" t="str"/>
      <x:c r="H281" s="19" t="str">
        <x:v>FC06 0x0011</x:v>
      </x:c>
      <x:c r="I281" s="19" t="str">
        <x:v>设置灌装ms=1389</x:v>
      </x:c>
      <x:c r="J281" s="19" t="str"/>
      <x:c r="K281" s="19" t="str">
        <x:v>写入响应回显</x:v>
      </x:c>
      <x:c r="L281" s="19" t="str"/>
      <x:c r="M281" s="19" t="str">
        <x:v>candidate:layered/L3_group/step_06_filling.group.json</x:v>
      </x:c>
    </x:row>
    <x:row r="282" ht="22.5" customHeight="1">
      <x:c r="A282" s="15" t="str">
        <x:v>apple_small</x:v>
      </x:c>
      <x:c r="B282" s="17" t="n">
        <x:v>6</x:v>
      </x:c>
      <x:c r="C282" s="17" t="n">
        <x:v>5</x:v>
      </x:c>
      <x:c r="D282" s="15" t="str">
        <x:v>coil</x:v>
      </x:c>
      <x:c r="E282" s="15" t="str">
        <x:v>每瓶一次；每配方12次</x:v>
      </x:c>
      <x:c r="F282" s="15" t="str">
        <x:v>AppleFill</x:v>
      </x:c>
      <x:c r="G282" s="15" t="str"/>
      <x:c r="H282" s="15" t="str">
        <x:v>FC05 0x0000</x:v>
      </x:c>
      <x:c r="I282" s="15" t="str">
        <x:v>开启</x:v>
      </x:c>
      <x:c r="J282" s="15" t="str"/>
      <x:c r="K282" s="15" t="str">
        <x:v>写入响应回显</x:v>
      </x:c>
      <x:c r="L282" s="15" t="str"/>
      <x:c r="M282" s="15" t="str">
        <x:v>candidate:layered/L3_group/step_06_filling.group.json</x:v>
      </x:c>
    </x:row>
    <x:row r="283" ht="22.5" customHeight="1">
      <x:c r="A283" s="19" t="str">
        <x:v>apple_small</x:v>
      </x:c>
      <x:c r="B283" s="18" t="n">
        <x:v>6</x:v>
      </x:c>
      <x:c r="C283" s="18" t="n">
        <x:v>6</x:v>
      </x:c>
      <x:c r="D283" s="19" t="str">
        <x:v>ready</x:v>
      </x:c>
      <x:c r="E283" s="19" t="str">
        <x:v>每瓶一次；每配方12次</x:v>
      </x:c>
      <x:c r="F283" s="19" t="str">
        <x:v>AppleFill</x:v>
      </x:c>
      <x:c r="G283" s="19" t="str"/>
      <x:c r="H283" s="19" t="str">
        <x:v>FC04 0x0000</x:v>
      </x:c>
      <x:c r="I283" s="19" t="str">
        <x:v>等待设备完成</x:v>
      </x:c>
      <x:c r="J283" s="19" t="str">
        <x:v>每20ms；截止20000ms</x:v>
      </x:c>
      <x:c r="K283" s="19" t="str">
        <x:v>04 02 00 01</x:v>
      </x:c>
      <x:c r="L283" s="19" t="str">
        <x:v>FILL_TIMEOUT</x:v>
      </x:c>
      <x:c r="M283" s="19" t="str">
        <x:v>candidate:layered/L3_group/step_06_filling.group.json</x:v>
      </x:c>
    </x:row>
    <x:row r="284" ht="34.5" customHeight="1">
      <x:c r="A284" s="15" t="str">
        <x:v>apple_small</x:v>
      </x:c>
      <x:c r="B284" s="17" t="n">
        <x:v>6</x:v>
      </x:c>
      <x:c r="C284" s="17" t="n">
        <x:v>7</x:v>
      </x:c>
      <x:c r="D284" s="15" t="str">
        <x:v>legacy</x:v>
      </x:c>
      <x:c r="E284" s="15" t="str">
        <x:v>每瓶一次；每配方12次</x:v>
      </x:c>
      <x:c r="F284" s="15" t="str">
        <x:v>FlowMeter</x:v>
      </x:c>
      <x:c r="G284" s="15" t="str"/>
      <x:c r="H284" s="15" t="str">
        <x:v>03 00 00 00 02；解码={"valueStartByte":2,"valueLength":4,"valueEndian":"little","valueType":"float"}</x:v>
      </x:c>
      <x:c r="I284" s="15" t="str">
        <x:v>检查流量达到配方容量（旧name仍写500ml；实际compareValue如下）</x:v>
      </x:c>
      <x:c r="J284" s="15" t="str"/>
      <x:c r="K284" s="15" t="str">
        <x:v>greaterOrEqual 250</x:v>
      </x:c>
      <x:c r="L284" s="15" t="str">
        <x:v>FLOW_NOT_REACHED</x:v>
      </x:c>
      <x:c r="M284" s="15" t="str">
        <x:v>candidate:layered/L3_group/step_06_filling.group.json</x:v>
      </x:c>
    </x:row>
    <x:row r="285" ht="22.5" customHeight="1">
      <x:c r="A285" s="19" t="str">
        <x:v>apple_small</x:v>
      </x:c>
      <x:c r="B285" s="18" t="n">
        <x:v>6</x:v>
      </x:c>
      <x:c r="C285" s="18" t="n">
        <x:v>8</x:v>
      </x:c>
      <x:c r="D285" s="19" t="str">
        <x:v>legacy</x:v>
      </x:c>
      <x:c r="E285" s="19" t="str">
        <x:v>每瓶一次；每配方12次</x:v>
      </x:c>
      <x:c r="F285" s="19" t="str">
        <x:v>LevelSensor</x:v>
      </x:c>
      <x:c r="G285" s="19" t="str"/>
      <x:c r="H285" s="19" t="str">
        <x:v>04 00 38 00 01</x:v>
      </x:c>
      <x:c r="I285" s="19" t="str">
        <x:v>Check level sensor</x:v>
      </x:c>
      <x:c r="J285" s="19" t="str">
        <x:v>每50ms；截止8000ms</x:v>
      </x:c>
      <x:c r="K285" s="19" t="str">
        <x:v>04 02 00 01</x:v>
      </x:c>
      <x:c r="L285" s="19" t="str">
        <x:v>LEVEL_TIMEOUT</x:v>
      </x:c>
      <x:c r="M285" s="19" t="str">
        <x:v>candidate:layered/L3_group/step_06_filling.group.json</x:v>
      </x:c>
    </x:row>
    <x:row r="286" ht="22.5" customHeight="1">
      <x:c r="A286" s="15" t="str">
        <x:v>apple_small</x:v>
      </x:c>
      <x:c r="B286" s="17" t="n">
        <x:v>6</x:v>
      </x:c>
      <x:c r="C286" s="17" t="n">
        <x:v>9</x:v>
      </x:c>
      <x:c r="D286" s="15" t="str">
        <x:v>coil</x:v>
      </x:c>
      <x:c r="E286" s="15" t="str">
        <x:v>每瓶一次；每配方12次</x:v>
      </x:c>
      <x:c r="F286" s="15" t="str">
        <x:v>AppleFill</x:v>
      </x:c>
      <x:c r="G286" s="15" t="str"/>
      <x:c r="H286" s="15" t="str">
        <x:v>FC05 0x0000</x:v>
      </x:c>
      <x:c r="I286" s="15" t="str">
        <x:v>关闭</x:v>
      </x:c>
      <x:c r="J286" s="15" t="str"/>
      <x:c r="K286" s="15" t="str">
        <x:v>写入响应回显</x:v>
      </x:c>
      <x:c r="L286" s="15" t="str"/>
      <x:c r="M286" s="15" t="str">
        <x:v>candidate:layered/L3_group/step_06_filling.group.json</x:v>
      </x:c>
    </x:row>
    <x:row r="287" ht="22.5" customHeight="1">
      <x:c r="A287" s="19" t="str">
        <x:v>apple_small</x:v>
      </x:c>
      <x:c r="B287" s="18" t="n">
        <x:v>6</x:v>
      </x:c>
      <x:c r="C287" s="18" t="n">
        <x:v>10</x:v>
      </x:c>
      <x:c r="D287" s="19" t="str">
        <x:v>repeat_legacy</x:v>
      </x:c>
      <x:c r="E287" s="19" t="str">
        <x:v>每瓶一次；每配方12次</x:v>
      </x:c>
      <x:c r="F287" s="19" t="str">
        <x:v>PressureSensor</x:v>
      </x:c>
      <x:c r="G287" s="19" t="str"/>
      <x:c r="H287" s="19" t="str">
        <x:v>03 00 12 00 02</x:v>
      </x:c>
      <x:c r="I287" s="19" t="str">
        <x:v>连续重复检查4次；无额外等待</x:v>
      </x:c>
      <x:c r="J287" s="19" t="str"/>
      <x:c r="K287" s="19" t="str">
        <x:v>greaterOrEqual 0.1</x:v>
      </x:c>
      <x:c r="L287" s="19" t="str">
        <x:v>FILL_PRESSURE_LOW</x:v>
      </x:c>
      <x:c r="M287" s="19" t="str">
        <x:v>candidate:layered/L3_group/step_06_filling.group.json</x:v>
      </x:c>
    </x:row>
    <x:row r="288" ht="34.5" customHeight="1">
      <x:c r="A288" s="15" t="str">
        <x:v>apple_small</x:v>
      </x:c>
      <x:c r="B288" s="17" t="n">
        <x:v>6</x:v>
      </x:c>
      <x:c r="C288" s="17" t="n">
        <x:v>11</x:v>
      </x:c>
      <x:c r="D288" s="15" t="str">
        <x:v>legacy</x:v>
      </x:c>
      <x:c r="E288" s="15" t="str">
        <x:v>每瓶一次；每配方12次</x:v>
      </x:c>
      <x:c r="F288" s="15" t="str">
        <x:v>FlowMeter</x:v>
      </x:c>
      <x:c r="G288" s="15" t="str"/>
      <x:c r="H288" s="15" t="str">
        <x:v>03 00 00 00 02；解码={"cacheStartByte":2,"cacheLength":4,"cacheEndian":"little","valueType":"float"}</x:v>
      </x:c>
      <x:c r="I288" s="15" t="str">
        <x:v>缓存totalVolume</x:v>
      </x:c>
      <x:c r="J288" s="15" t="str"/>
      <x:c r="K288" s="15" t="str"/>
      <x:c r="L288" s="15" t="str"/>
      <x:c r="M288" s="15" t="str">
        <x:v>candidate:layered/L3_group/step_06_filling.group.json</x:v>
      </x:c>
    </x:row>
    <x:row r="289" ht="22.5" customHeight="1">
      <x:c r="A289" s="19" t="str">
        <x:v>apple_small</x:v>
      </x:c>
      <x:c r="B289" s="18" t="n">
        <x:v>6</x:v>
      </x:c>
      <x:c r="C289" s="18" t="n">
        <x:v>12</x:v>
      </x:c>
      <x:c r="D289" s="19" t="str">
        <x:v>read_volume</x:v>
      </x:c>
      <x:c r="E289" s="19" t="str">
        <x:v>每瓶一次；每配方12次</x:v>
      </x:c>
      <x:c r="F289" s="19" t="str">
        <x:v>AppleFill</x:v>
      </x:c>
      <x:c r="G289" s="19" t="str"/>
      <x:c r="H289" s="19" t="str">
        <x:v>FC03 0x0012</x:v>
      </x:c>
      <x:c r="I289" s="19" t="str">
        <x:v>读实灌量dispensed_ml并刷新dispensedMl</x:v>
      </x:c>
      <x:c r="J289" s="19" t="str"/>
      <x:c r="K289" s="19" t="str"/>
      <x:c r="L289" s="19" t="str"/>
      <x:c r="M289" s="19" t="str">
        <x:v>candidate:layered/L3_group/step_06_filling.group.json</x:v>
      </x:c>
    </x:row>
    <x:row r="290" ht="22.5" customHeight="1">
      <x:c r="A290" s="15" t="str">
        <x:v>apple_small</x:v>
      </x:c>
      <x:c r="B290" s="17" t="n">
        <x:v>6</x:v>
      </x:c>
      <x:c r="C290" s="17" t="n">
        <x:v>13</x:v>
      </x:c>
      <x:c r="D290" s="15" t="str">
        <x:v>legacy</x:v>
      </x:c>
      <x:c r="E290" s="15" t="str">
        <x:v>每瓶一次；每配方12次</x:v>
      </x:c>
      <x:c r="F290" s="15" t="str"/>
      <x:c r="G290" s="15" t="str"/>
      <x:c r="H290" s="15" t="str">
        <x:v>FillState</x:v>
      </x:c>
      <x:c r="I290" s="15" t="str">
        <x:v>更新UI=done</x:v>
      </x:c>
      <x:c r="J290" s="15" t="str"/>
      <x:c r="K290" s="15" t="str"/>
      <x:c r="L290" s="15" t="str"/>
      <x:c r="M290" s="15" t="str">
        <x:v>candidate:layered/L3_group/step_06_filling.group.json</x:v>
      </x:c>
    </x:row>
    <x:row r="291" ht="34.5" customHeight="1">
      <x:c r="A291" s="19" t="str">
        <x:v>apple_small</x:v>
      </x:c>
      <x:c r="B291" s="18" t="n">
        <x:v>7</x:v>
      </x:c>
      <x:c r="C291" s="18" t="n">
        <x:v>1</x:v>
      </x:c>
      <x:c r="D291" s="19" t="str">
        <x:v>legacy</x:v>
      </x:c>
      <x:c r="E291" s="19" t="str">
        <x:v>每瓶一次；每配方12次</x:v>
      </x:c>
      <x:c r="F291" s="19" t="str"/>
      <x:c r="G291" s="19" t="str"/>
      <x:c r="H291" s="19" t="str">
        <x:v>stage</x:v>
      </x:c>
      <x:c r="I291" s="19" t="str">
        <x:v>更新UI=07</x:v>
      </x:c>
      <x:c r="J291" s="19" t="str"/>
      <x:c r="K291" s="19" t="str"/>
      <x:c r="L291" s="19" t="str"/>
      <x:c r="M291" s="19" t="str">
        <x:v>candidate:layered/L3_group/step_07_level_recheck.group.json</x:v>
      </x:c>
    </x:row>
    <x:row r="292" ht="34.5" customHeight="1">
      <x:c r="A292" s="15" t="str">
        <x:v>apple_small</x:v>
      </x:c>
      <x:c r="B292" s="17" t="n">
        <x:v>7</x:v>
      </x:c>
      <x:c r="C292" s="17" t="n">
        <x:v>2</x:v>
      </x:c>
      <x:c r="D292" s="15" t="str">
        <x:v>legacy</x:v>
      </x:c>
      <x:c r="E292" s="15" t="str">
        <x:v>每瓶一次；每配方12次</x:v>
      </x:c>
      <x:c r="F292" s="15" t="str">
        <x:v>LevelSensor</x:v>
      </x:c>
      <x:c r="G292" s="15" t="str"/>
      <x:c r="H292" s="15" t="str">
        <x:v>04 00 38 00 01</x:v>
      </x:c>
      <x:c r="I292" s="15" t="str">
        <x:v>Check level 1</x:v>
      </x:c>
      <x:c r="J292" s="15" t="str">
        <x:v>每50ms；截止3000ms</x:v>
      </x:c>
      <x:c r="K292" s="15" t="str">
        <x:v>04 02 00 01</x:v>
      </x:c>
      <x:c r="L292" s="15" t="str">
        <x:v>RECHECK1_FAIL</x:v>
      </x:c>
      <x:c r="M292" s="15" t="str">
        <x:v>candidate:layered/L3_group/step_07_level_recheck.group.json</x:v>
      </x:c>
    </x:row>
    <x:row r="293" ht="34.5" customHeight="1">
      <x:c r="A293" s="19" t="str">
        <x:v>apple_small</x:v>
      </x:c>
      <x:c r="B293" s="18" t="n">
        <x:v>7</x:v>
      </x:c>
      <x:c r="C293" s="18" t="n">
        <x:v>3</x:v>
      </x:c>
      <x:c r="D293" s="19" t="str">
        <x:v>legacy</x:v>
      </x:c>
      <x:c r="E293" s="19" t="str">
        <x:v>每瓶一次；每配方12次</x:v>
      </x:c>
      <x:c r="F293" s="19" t="str">
        <x:v>LevelSensor</x:v>
      </x:c>
      <x:c r="G293" s="19" t="str"/>
      <x:c r="H293" s="19" t="str">
        <x:v>04 00 39 00 01</x:v>
      </x:c>
      <x:c r="I293" s="19" t="str">
        <x:v>Check level 2</x:v>
      </x:c>
      <x:c r="J293" s="19" t="str">
        <x:v>每50ms；截止3000ms</x:v>
      </x:c>
      <x:c r="K293" s="19" t="str">
        <x:v>04 02 00 01</x:v>
      </x:c>
      <x:c r="L293" s="19" t="str">
        <x:v>RECHECK2_FAIL</x:v>
      </x:c>
      <x:c r="M293" s="19" t="str">
        <x:v>candidate:layered/L3_group/step_07_level_recheck.group.json</x:v>
      </x:c>
    </x:row>
    <x:row r="294" ht="34.5" customHeight="1">
      <x:c r="A294" s="15" t="str">
        <x:v>apple_small</x:v>
      </x:c>
      <x:c r="B294" s="17" t="n">
        <x:v>7</x:v>
      </x:c>
      <x:c r="C294" s="17" t="n">
        <x:v>4</x:v>
      </x:c>
      <x:c r="D294" s="15" t="str">
        <x:v>legacy</x:v>
      </x:c>
      <x:c r="E294" s="15" t="str">
        <x:v>每瓶一次；每配方12次</x:v>
      </x:c>
      <x:c r="F294" s="15" t="str">
        <x:v>LevelSensor</x:v>
      </x:c>
      <x:c r="G294" s="15" t="str"/>
      <x:c r="H294" s="15" t="str">
        <x:v>04 00 3A 00 01</x:v>
      </x:c>
      <x:c r="I294" s="15" t="str">
        <x:v>Check level 3</x:v>
      </x:c>
      <x:c r="J294" s="15" t="str">
        <x:v>每50ms；截止3000ms</x:v>
      </x:c>
      <x:c r="K294" s="15" t="str">
        <x:v>04 02 00 01</x:v>
      </x:c>
      <x:c r="L294" s="15" t="str">
        <x:v>RECHECK3_FAIL</x:v>
      </x:c>
      <x:c r="M294" s="15" t="str">
        <x:v>candidate:layered/L3_group/step_07_level_recheck.group.json</x:v>
      </x:c>
    </x:row>
    <x:row r="295" ht="34.5" customHeight="1">
      <x:c r="A295" s="19" t="str">
        <x:v>apple_small</x:v>
      </x:c>
      <x:c r="B295" s="18" t="n">
        <x:v>7</x:v>
      </x:c>
      <x:c r="C295" s="18" t="n">
        <x:v>5</x:v>
      </x:c>
      <x:c r="D295" s="19" t="str">
        <x:v>legacy</x:v>
      </x:c>
      <x:c r="E295" s="19" t="str">
        <x:v>每瓶一次；每配方12次</x:v>
      </x:c>
      <x:c r="F295" s="19" t="str">
        <x:v>LevelSensor</x:v>
      </x:c>
      <x:c r="G295" s="19" t="str"/>
      <x:c r="H295" s="19" t="str">
        <x:v>04 00 3B 00 01</x:v>
      </x:c>
      <x:c r="I295" s="19" t="str">
        <x:v>Check level 4</x:v>
      </x:c>
      <x:c r="J295" s="19" t="str">
        <x:v>每50ms；截止3000ms</x:v>
      </x:c>
      <x:c r="K295" s="19" t="str">
        <x:v>04 02 00 01</x:v>
      </x:c>
      <x:c r="L295" s="19" t="str">
        <x:v>RECHECK4_FAIL</x:v>
      </x:c>
      <x:c r="M295" s="19" t="str">
        <x:v>candidate:layered/L3_group/step_07_level_recheck.group.json</x:v>
      </x:c>
    </x:row>
    <x:row r="296" ht="34.5" customHeight="1">
      <x:c r="A296" s="15" t="str">
        <x:v>apple_small</x:v>
      </x:c>
      <x:c r="B296" s="17" t="n">
        <x:v>7</x:v>
      </x:c>
      <x:c r="C296" s="17" t="n">
        <x:v>6</x:v>
      </x:c>
      <x:c r="D296" s="15" t="str">
        <x:v>legacy</x:v>
      </x:c>
      <x:c r="E296" s="15" t="str">
        <x:v>每瓶一次；每配方12次</x:v>
      </x:c>
      <x:c r="F296" s="15" t="str">
        <x:v>LevelSensor</x:v>
      </x:c>
      <x:c r="G296" s="15" t="str"/>
      <x:c r="H296" s="15" t="str">
        <x:v>04 00 38 00 01；解码={"cacheStartByte":2,"cacheLength":2,"cacheEndian":"big","valueType":"uint16"}</x:v>
      </x:c>
      <x:c r="I296" s="15" t="str">
        <x:v>缓存lv1</x:v>
      </x:c>
      <x:c r="J296" s="15" t="str"/>
      <x:c r="K296" s="15" t="str"/>
      <x:c r="L296" s="15" t="str"/>
      <x:c r="M296" s="15" t="str">
        <x:v>candidate:layered/L3_group/step_07_level_recheck.group.json</x:v>
      </x:c>
    </x:row>
    <x:row r="297" ht="34.5" customHeight="1">
      <x:c r="A297" s="19" t="str">
        <x:v>apple_small</x:v>
      </x:c>
      <x:c r="B297" s="18" t="n">
        <x:v>7</x:v>
      </x:c>
      <x:c r="C297" s="18" t="n">
        <x:v>7</x:v>
      </x:c>
      <x:c r="D297" s="19" t="str">
        <x:v>legacy</x:v>
      </x:c>
      <x:c r="E297" s="19" t="str">
        <x:v>每瓶一次；每配方12次</x:v>
      </x:c>
      <x:c r="F297" s="19" t="str">
        <x:v>LevelSensor</x:v>
      </x:c>
      <x:c r="G297" s="19" t="str"/>
      <x:c r="H297" s="19" t="str">
        <x:v>04 00 39 00 01；解码={"cacheStartByte":2,"cacheLength":2,"cacheEndian":"big","valueType":"uint16"}</x:v>
      </x:c>
      <x:c r="I297" s="19" t="str">
        <x:v>缓存lv2</x:v>
      </x:c>
      <x:c r="J297" s="19" t="str"/>
      <x:c r="K297" s="19" t="str"/>
      <x:c r="L297" s="19" t="str"/>
      <x:c r="M297" s="19" t="str">
        <x:v>candidate:layered/L3_group/step_07_level_recheck.group.json</x:v>
      </x:c>
    </x:row>
    <x:row r="298" ht="34.5" customHeight="1">
      <x:c r="A298" s="15" t="str">
        <x:v>apple_small</x:v>
      </x:c>
      <x:c r="B298" s="17" t="n">
        <x:v>7</x:v>
      </x:c>
      <x:c r="C298" s="17" t="n">
        <x:v>8</x:v>
      </x:c>
      <x:c r="D298" s="15" t="str">
        <x:v>legacy</x:v>
      </x:c>
      <x:c r="E298" s="15" t="str">
        <x:v>每瓶一次；每配方12次</x:v>
      </x:c>
      <x:c r="F298" s="15" t="str">
        <x:v>LevelSensor</x:v>
      </x:c>
      <x:c r="G298" s="15" t="str"/>
      <x:c r="H298" s="15" t="str">
        <x:v>04 00 3A 00 01；解码={"cacheStartByte":2,"cacheLength":2,"cacheEndian":"big","valueType":"uint16"}</x:v>
      </x:c>
      <x:c r="I298" s="15" t="str">
        <x:v>缓存lv3</x:v>
      </x:c>
      <x:c r="J298" s="15" t="str"/>
      <x:c r="K298" s="15" t="str"/>
      <x:c r="L298" s="15" t="str"/>
      <x:c r="M298" s="15" t="str">
        <x:v>candidate:layered/L3_group/step_07_level_recheck.group.json</x:v>
      </x:c>
    </x:row>
    <x:row r="299" ht="34.5" customHeight="1">
      <x:c r="A299" s="19" t="str">
        <x:v>apple_small</x:v>
      </x:c>
      <x:c r="B299" s="18" t="n">
        <x:v>7</x:v>
      </x:c>
      <x:c r="C299" s="18" t="n">
        <x:v>9</x:v>
      </x:c>
      <x:c r="D299" s="19" t="str">
        <x:v>legacy</x:v>
      </x:c>
      <x:c r="E299" s="19" t="str">
        <x:v>每瓶一次；每配方12次</x:v>
      </x:c>
      <x:c r="F299" s="19" t="str">
        <x:v>LevelSensor</x:v>
      </x:c>
      <x:c r="G299" s="19" t="str"/>
      <x:c r="H299" s="19" t="str">
        <x:v>04 00 3B 00 01；解码={"cacheStartByte":2,"cacheLength":2,"cacheEndian":"big","valueType":"uint16"}</x:v>
      </x:c>
      <x:c r="I299" s="19" t="str">
        <x:v>缓存lv4</x:v>
      </x:c>
      <x:c r="J299" s="19" t="str"/>
      <x:c r="K299" s="19" t="str"/>
      <x:c r="L299" s="19" t="str"/>
      <x:c r="M299" s="19" t="str">
        <x:v>candidate:layered/L3_group/step_07_level_recheck.group.json</x:v>
      </x:c>
    </x:row>
    <x:row r="300" ht="34.5" customHeight="1">
      <x:c r="A300" s="15" t="str">
        <x:v>apple_small</x:v>
      </x:c>
      <x:c r="B300" s="17" t="n">
        <x:v>7</x:v>
      </x:c>
      <x:c r="C300" s="17" t="n">
        <x:v>10</x:v>
      </x:c>
      <x:c r="D300" s="15" t="str">
        <x:v>legacy</x:v>
      </x:c>
      <x:c r="E300" s="15" t="str">
        <x:v>每瓶一次；每配方12次</x:v>
      </x:c>
      <x:c r="F300" s="15" t="str"/>
      <x:c r="G300" s="15" t="str"/>
      <x:c r="H300" s="15" t="str">
        <x:v>CheckState</x:v>
      </x:c>
      <x:c r="I300" s="15" t="str">
        <x:v>更新UI=qualified</x:v>
      </x:c>
      <x:c r="J300" s="15" t="str"/>
      <x:c r="K300" s="15" t="str"/>
      <x:c r="L300" s="15" t="str"/>
      <x:c r="M300" s="15" t="str">
        <x:v>candidate:layered/L3_group/step_07_level_recheck.group.json</x:v>
      </x:c>
    </x:row>
    <x:row r="301" ht="22.5" customHeight="1">
      <x:c r="A301" s="19" t="str">
        <x:v>apple_small</x:v>
      </x:c>
      <x:c r="B301" s="18" t="n">
        <x:v>8</x:v>
      </x:c>
      <x:c r="C301" s="18" t="n">
        <x:v>1</x:v>
      </x:c>
      <x:c r="D301" s="19" t="str">
        <x:v>legacy</x:v>
      </x:c>
      <x:c r="E301" s="19" t="str">
        <x:v>每瓶一次；每配方12次</x:v>
      </x:c>
      <x:c r="F301" s="19" t="str"/>
      <x:c r="G301" s="19" t="str"/>
      <x:c r="H301" s="19" t="str">
        <x:v>stage</x:v>
      </x:c>
      <x:c r="I301" s="19" t="str">
        <x:v>更新UI=08</x:v>
      </x:c>
      <x:c r="J301" s="19" t="str"/>
      <x:c r="K301" s="19" t="str"/>
      <x:c r="L301" s="19" t="str"/>
      <x:c r="M301" s="19" t="str">
        <x:v>candidate:layered/L3_group/step_08_capping.group.json</x:v>
      </x:c>
    </x:row>
    <x:row r="302" ht="22.5" customHeight="1">
      <x:c r="A302" s="15" t="str">
        <x:v>apple_small</x:v>
      </x:c>
      <x:c r="B302" s="17" t="n">
        <x:v>8</x:v>
      </x:c>
      <x:c r="C302" s="17" t="n">
        <x:v>2</x:v>
      </x:c>
      <x:c r="D302" s="15" t="str">
        <x:v>move</x:v>
      </x:c>
      <x:c r="E302" s="15" t="str">
        <x:v>每瓶一次；每配方12次</x:v>
      </x:c>
      <x:c r="F302" s="15" t="str">
        <x:v>X / Y1 / Y2 / Z</x:v>
      </x:c>
      <x:c r="G302" s="15" t="n">
        <x:v>45</x:v>
      </x:c>
      <x:c r="H302" s="15" t="str">
        <x:v>fill_entry</x:v>
      </x:c>
      <x:c r="I302" s="15" t="str">
        <x:v>移动至 apple small fill entry；PR=(5,12,12,1)；仅变化轴触发</x:v>
      </x:c>
      <x:c r="J302" s="15" t="str">
        <x:v>四电机各20ms轮询/4000ms截止</x:v>
      </x:c>
      <x:c r="K302" s="15" t="str">
        <x:v>全部就绪；缓存四位置；UI使用X/Y1/Z</x:v>
      </x:c>
      <x:c r="L302" s="15" t="str">
        <x:v>MOTION_TIMEOUT</x:v>
      </x:c>
      <x:c r="M302" s="15" t="str">
        <x:v>candidate:layered/L3_group/step_08_capping.group.json</x:v>
      </x:c>
    </x:row>
    <x:row r="303" ht="22.5" customHeight="1">
      <x:c r="A303" s="19" t="str">
        <x:v>apple_small</x:v>
      </x:c>
      <x:c r="B303" s="18" t="n">
        <x:v>8</x:v>
      </x:c>
      <x:c r="C303" s="18" t="n">
        <x:v>3</x:v>
      </x:c>
      <x:c r="D303" s="19" t="str">
        <x:v>move</x:v>
      </x:c>
      <x:c r="E303" s="19" t="str">
        <x:v>每瓶一次；每配方12次</x:v>
      </x:c>
      <x:c r="F303" s="19" t="str">
        <x:v>X / Y1 / Y2 / Z</x:v>
      </x:c>
      <x:c r="G303" s="19" t="n">
        <x:v>39</x:v>
      </x:c>
      <x:c r="H303" s="19" t="str">
        <x:v>closure_entry</x:v>
      </x:c>
      <x:c r="I303" s="19" t="str">
        <x:v>移动至 small closure entry；PR=(9,6,6,1)；仅变化轴触发</x:v>
      </x:c>
      <x:c r="J303" s="19" t="str">
        <x:v>四电机各20ms轮询/4000ms截止</x:v>
      </x:c>
      <x:c r="K303" s="19" t="str">
        <x:v>全部就绪；缓存四位置；UI使用X/Y1/Z</x:v>
      </x:c>
      <x:c r="L303" s="19" t="str">
        <x:v>MOTION_TIMEOUT</x:v>
      </x:c>
      <x:c r="M303" s="19" t="str">
        <x:v>candidate:layered/L3_group/step_08_capping.group.json</x:v>
      </x:c>
    </x:row>
    <x:row r="304" ht="22.5" customHeight="1">
      <x:c r="A304" s="15" t="str">
        <x:v>apple_small</x:v>
      </x:c>
      <x:c r="B304" s="17" t="n">
        <x:v>8</x:v>
      </x:c>
      <x:c r="C304" s="17" t="n">
        <x:v>4</x:v>
      </x:c>
      <x:c r="D304" s="15" t="str">
        <x:v>move</x:v>
      </x:c>
      <x:c r="E304" s="15" t="str">
        <x:v>每瓶一次；每配方12次</x:v>
      </x:c>
      <x:c r="F304" s="15" t="str">
        <x:v>X / Y1 / Y2 / Z</x:v>
      </x:c>
      <x:c r="G304" s="15" t="n">
        <x:v>40</x:v>
      </x:c>
      <x:c r="H304" s="15" t="str">
        <x:v>closure_work</x:v>
      </x:c>
      <x:c r="I304" s="15" t="str">
        <x:v>移动至 small closure work；PR=(9,6,6,4)；仅变化轴触发</x:v>
      </x:c>
      <x:c r="J304" s="15" t="str">
        <x:v>四电机各20ms轮询/4000ms截止</x:v>
      </x:c>
      <x:c r="K304" s="15" t="str">
        <x:v>全部就绪；缓存四位置；UI使用X/Y1/Z</x:v>
      </x:c>
      <x:c r="L304" s="15" t="str">
        <x:v>MOTION_TIMEOUT</x:v>
      </x:c>
      <x:c r="M304" s="15" t="str">
        <x:v>candidate:layered/L3_group/step_08_capping.group.json</x:v>
      </x:c>
    </x:row>
    <x:row r="305" ht="22.5" customHeight="1">
      <x:c r="A305" s="19" t="str">
        <x:v>apple_small</x:v>
      </x:c>
      <x:c r="B305" s="18" t="n">
        <x:v>8</x:v>
      </x:c>
      <x:c r="C305" s="18" t="n">
        <x:v>5</x:v>
      </x:c>
      <x:c r="D305" s="19" t="str">
        <x:v>coil</x:v>
      </x:c>
      <x:c r="E305" s="19" t="str">
        <x:v>每瓶一次；每配方12次</x:v>
      </x:c>
      <x:c r="F305" s="19" t="str">
        <x:v>CapFeeder</x:v>
      </x:c>
      <x:c r="G305" s="19" t="str"/>
      <x:c r="H305" s="19" t="str">
        <x:v>FC05 0x0000</x:v>
      </x:c>
      <x:c r="I305" s="19" t="str">
        <x:v>开启</x:v>
      </x:c>
      <x:c r="J305" s="19" t="str"/>
      <x:c r="K305" s="19" t="str">
        <x:v>写入响应回显</x:v>
      </x:c>
      <x:c r="L305" s="19" t="str"/>
      <x:c r="M305" s="19" t="str">
        <x:v>candidate:layered/L3_group/step_08_capping.group.json</x:v>
      </x:c>
    </x:row>
    <x:row r="306" ht="22.5" customHeight="1">
      <x:c r="A306" s="15" t="str">
        <x:v>apple_small</x:v>
      </x:c>
      <x:c r="B306" s="17" t="n">
        <x:v>8</x:v>
      </x:c>
      <x:c r="C306" s="17" t="n">
        <x:v>6</x:v>
      </x:c>
      <x:c r="D306" s="15" t="str">
        <x:v>trigger</x:v>
      </x:c>
      <x:c r="E306" s="15" t="str">
        <x:v>每瓶一次；每配方12次</x:v>
      </x:c>
      <x:c r="F306" s="15" t="str">
        <x:v>Closure</x:v>
      </x:c>
      <x:c r="G306" s="15" t="str"/>
      <x:c r="H306" s="15" t="str">
        <x:v>FC06 0x6002=19</x:v>
      </x:c>
      <x:c r="I306" s="15" t="str">
        <x:v>触发预设PR3</x:v>
      </x:c>
      <x:c r="J306" s="15" t="str"/>
      <x:c r="K306" s="15" t="str">
        <x:v>写入响应回显</x:v>
      </x:c>
      <x:c r="L306" s="15" t="str"/>
      <x:c r="M306" s="15" t="str">
        <x:v>candidate:layered/L3_group/step_08_capping.group.json</x:v>
      </x:c>
    </x:row>
    <x:row r="307" ht="22.5" customHeight="1">
      <x:c r="A307" s="19" t="str">
        <x:v>apple_small</x:v>
      </x:c>
      <x:c r="B307" s="18" t="n">
        <x:v>8</x:v>
      </x:c>
      <x:c r="C307" s="18" t="n">
        <x:v>7</x:v>
      </x:c>
      <x:c r="D307" s="19" t="str">
        <x:v>ready</x:v>
      </x:c>
      <x:c r="E307" s="19" t="str">
        <x:v>每瓶一次；每配方12次</x:v>
      </x:c>
      <x:c r="F307" s="19" t="str">
        <x:v>Closure</x:v>
      </x:c>
      <x:c r="G307" s="19" t="str"/>
      <x:c r="H307" s="19" t="str">
        <x:v>FC04 0x0000</x:v>
      </x:c>
      <x:c r="I307" s="19" t="str">
        <x:v>等待设备完成</x:v>
      </x:c>
      <x:c r="J307" s="19" t="str">
        <x:v>每20ms；截止5000ms</x:v>
      </x:c>
      <x:c r="K307" s="19" t="str">
        <x:v>04 02 00 01</x:v>
      </x:c>
      <x:c r="L307" s="19" t="str">
        <x:v>CLOSURE_TIMEOUT</x:v>
      </x:c>
      <x:c r="M307" s="19" t="str">
        <x:v>candidate:layered/L3_group/step_08_capping.group.json</x:v>
      </x:c>
    </x:row>
    <x:row r="308" ht="22.5" customHeight="1">
      <x:c r="A308" s="15" t="str">
        <x:v>apple_small</x:v>
      </x:c>
      <x:c r="B308" s="17" t="n">
        <x:v>8</x:v>
      </x:c>
      <x:c r="C308" s="17" t="n">
        <x:v>8</x:v>
      </x:c>
      <x:c r="D308" s="15" t="str">
        <x:v>legacy</x:v>
      </x:c>
      <x:c r="E308" s="15" t="str">
        <x:v>每瓶一次；每配方12次</x:v>
      </x:c>
      <x:c r="F308" s="15" t="str">
        <x:v>Relay</x:v>
      </x:c>
      <x:c r="G308" s="15" t="str"/>
      <x:c r="H308" s="15" t="str">
        <x:v>05 00 0B FF 00</x:v>
      </x:c>
      <x:c r="I308" s="15" t="str">
        <x:v>Capping machine start</x:v>
      </x:c>
      <x:c r="J308" s="15" t="str"/>
      <x:c r="K308" s="15" t="str">
        <x:v>响应回显=05 00 0B FF 00</x:v>
      </x:c>
      <x:c r="L308" s="15" t="str"/>
      <x:c r="M308" s="15" t="str">
        <x:v>candidate:layered/L3_group/step_08_capping.group.json</x:v>
      </x:c>
    </x:row>
    <x:row r="309" ht="22.5" customHeight="1">
      <x:c r="A309" s="19" t="str">
        <x:v>apple_small</x:v>
      </x:c>
      <x:c r="B309" s="18" t="n">
        <x:v>8</x:v>
      </x:c>
      <x:c r="C309" s="18" t="n">
        <x:v>9</x:v>
      </x:c>
      <x:c r="D309" s="19" t="str">
        <x:v>legacy</x:v>
      </x:c>
      <x:c r="E309" s="19" t="str">
        <x:v>每瓶一次；每配方12次</x:v>
      </x:c>
      <x:c r="F309" s="19" t="str"/>
      <x:c r="G309" s="19" t="str"/>
      <x:c r="H309" s="19" t="str"/>
      <x:c r="I309" s="19" t="str">
        <x:v>显式等待(ms)</x:v>
      </x:c>
      <x:c r="J309" s="19" t="n">
        <x:v>3000</x:v>
      </x:c>
      <x:c r="K309" s="19" t="str"/>
      <x:c r="L309" s="19" t="str"/>
      <x:c r="M309" s="19" t="str">
        <x:v>candidate:layered/L3_group/step_08_capping.group.json</x:v>
      </x:c>
    </x:row>
    <x:row r="310" ht="34.5" customHeight="1">
      <x:c r="A310" s="15" t="str">
        <x:v>apple_small</x:v>
      </x:c>
      <x:c r="B310" s="17" t="n">
        <x:v>8</x:v>
      </x:c>
      <x:c r="C310" s="17" t="n">
        <x:v>10</x:v>
      </x:c>
      <x:c r="D310" s="15" t="str">
        <x:v>legacy</x:v>
      </x:c>
      <x:c r="E310" s="15" t="str">
        <x:v>每瓶一次；每配方12次</x:v>
      </x:c>
      <x:c r="F310" s="15" t="str">
        <x:v>Torque</x:v>
      </x:c>
      <x:c r="G310" s="15" t="str"/>
      <x:c r="H310" s="15" t="str">
        <x:v>03 00 30 00 02；解码={"valueStartByte":2,"valueLength":4,"valueEndian":"little","valueType":"float"}</x:v>
      </x:c>
      <x:c r="I310" s="15" t="str">
        <x:v>check Cappingtorque&gt;=2.0N·m</x:v>
      </x:c>
      <x:c r="J310" s="15" t="str"/>
      <x:c r="K310" s="15" t="str">
        <x:v>greaterOrEqual 2.0</x:v>
      </x:c>
      <x:c r="L310" s="15" t="str">
        <x:v>TORQUE_LOW</x:v>
      </x:c>
      <x:c r="M310" s="15" t="str">
        <x:v>candidate:layered/L3_group/step_08_capping.group.json</x:v>
      </x:c>
    </x:row>
    <x:row r="311" ht="22.5" customHeight="1">
      <x:c r="A311" s="19" t="str">
        <x:v>apple_small</x:v>
      </x:c>
      <x:c r="B311" s="18" t="n">
        <x:v>8</x:v>
      </x:c>
      <x:c r="C311" s="18" t="n">
        <x:v>11</x:v>
      </x:c>
      <x:c r="D311" s="19" t="str">
        <x:v>legacy</x:v>
      </x:c>
      <x:c r="E311" s="19" t="str">
        <x:v>每瓶一次；每配方12次</x:v>
      </x:c>
      <x:c r="F311" s="19" t="str">
        <x:v>Relay</x:v>
      </x:c>
      <x:c r="G311" s="19" t="str"/>
      <x:c r="H311" s="19" t="str">
        <x:v>05 00 0B 00 00</x:v>
      </x:c>
      <x:c r="I311" s="19" t="str">
        <x:v>Capping machine stop</x:v>
      </x:c>
      <x:c r="J311" s="19" t="str"/>
      <x:c r="K311" s="19" t="str">
        <x:v>响应回显=05 00 0B 00 00</x:v>
      </x:c>
      <x:c r="L311" s="19" t="str"/>
      <x:c r="M311" s="19" t="str">
        <x:v>candidate:layered/L3_group/step_08_capping.group.json</x:v>
      </x:c>
    </x:row>
    <x:row r="312" ht="22.5" customHeight="1">
      <x:c r="A312" s="15" t="str">
        <x:v>apple_small</x:v>
      </x:c>
      <x:c r="B312" s="17" t="n">
        <x:v>8</x:v>
      </x:c>
      <x:c r="C312" s="17" t="n">
        <x:v>12</x:v>
      </x:c>
      <x:c r="D312" s="15" t="str">
        <x:v>legacy</x:v>
      </x:c>
      <x:c r="E312" s="15" t="str">
        <x:v>每瓶一次；每配方12次</x:v>
      </x:c>
      <x:c r="F312" s="15" t="str">
        <x:v>BottleSensor</x:v>
      </x:c>
      <x:c r="G312" s="15" t="str"/>
      <x:c r="H312" s="15" t="str">
        <x:v>04 00 46 00 01</x:v>
      </x:c>
      <x:c r="I312" s="15" t="str">
        <x:v>check Cap checksensor</x:v>
      </x:c>
      <x:c r="J312" s="15" t="str">
        <x:v>每50ms；截止3000ms</x:v>
      </x:c>
      <x:c r="K312" s="15" t="str">
        <x:v>04 02 00 01</x:v>
      </x:c>
      <x:c r="L312" s="15" t="str">
        <x:v>CAP_TIMEOUT</x:v>
      </x:c>
      <x:c r="M312" s="15" t="str">
        <x:v>candidate:layered/L3_group/step_08_capping.group.json</x:v>
      </x:c>
    </x:row>
    <x:row r="313" ht="34.5" customHeight="1">
      <x:c r="A313" s="19" t="str">
        <x:v>apple_small</x:v>
      </x:c>
      <x:c r="B313" s="18" t="n">
        <x:v>8</x:v>
      </x:c>
      <x:c r="C313" s="18" t="n">
        <x:v>13</x:v>
      </x:c>
      <x:c r="D313" s="19" t="str">
        <x:v>legacy</x:v>
      </x:c>
      <x:c r="E313" s="19" t="str">
        <x:v>每瓶一次；每配方12次</x:v>
      </x:c>
      <x:c r="F313" s="19" t="str">
        <x:v>Torque</x:v>
      </x:c>
      <x:c r="G313" s="19" t="str"/>
      <x:c r="H313" s="19" t="str">
        <x:v>03 00 30 00 02；解码={"cacheStartByte":2,"cacheLength":4,"cacheEndian":"little","valueType":"float"}</x:v>
      </x:c>
      <x:c r="I313" s="19" t="str">
        <x:v>缓存torqueValue</x:v>
      </x:c>
      <x:c r="J313" s="19" t="str"/>
      <x:c r="K313" s="19" t="str"/>
      <x:c r="L313" s="19" t="str"/>
      <x:c r="M313" s="19" t="str">
        <x:v>candidate:layered/L3_group/step_08_capping.group.json</x:v>
      </x:c>
    </x:row>
    <x:row r="314" ht="22.5" customHeight="1">
      <x:c r="A314" s="15" t="str">
        <x:v>apple_small</x:v>
      </x:c>
      <x:c r="B314" s="17" t="n">
        <x:v>8</x:v>
      </x:c>
      <x:c r="C314" s="17" t="n">
        <x:v>14</x:v>
      </x:c>
      <x:c r="D314" s="15" t="str">
        <x:v>legacy</x:v>
      </x:c>
      <x:c r="E314" s="15" t="str">
        <x:v>每瓶一次；每配方12次</x:v>
      </x:c>
      <x:c r="F314" s="15" t="str"/>
      <x:c r="G314" s="15" t="str"/>
      <x:c r="H314" s="15" t="str">
        <x:v>CapState</x:v>
      </x:c>
      <x:c r="I314" s="15" t="str">
        <x:v>更新UI=done</x:v>
      </x:c>
      <x:c r="J314" s="15" t="str"/>
      <x:c r="K314" s="15" t="str"/>
      <x:c r="L314" s="15" t="str"/>
      <x:c r="M314" s="15" t="str">
        <x:v>candidate:layered/L3_group/step_08_capping.group.json</x:v>
      </x:c>
    </x:row>
    <x:row r="315" ht="22.5" customHeight="1">
      <x:c r="A315" s="19" t="str">
        <x:v>apple_small</x:v>
      </x:c>
      <x:c r="B315" s="18" t="n">
        <x:v>8</x:v>
      </x:c>
      <x:c r="C315" s="18" t="n">
        <x:v>15</x:v>
      </x:c>
      <x:c r="D315" s="19" t="str">
        <x:v>coil</x:v>
      </x:c>
      <x:c r="E315" s="19" t="str">
        <x:v>每瓶一次；每配方12次</x:v>
      </x:c>
      <x:c r="F315" s="19" t="str">
        <x:v>CapFeeder</x:v>
      </x:c>
      <x:c r="G315" s="19" t="str"/>
      <x:c r="H315" s="19" t="str">
        <x:v>FC05 0x0000</x:v>
      </x:c>
      <x:c r="I315" s="19" t="str">
        <x:v>关闭</x:v>
      </x:c>
      <x:c r="J315" s="19" t="str"/>
      <x:c r="K315" s="19" t="str">
        <x:v>写入响应回显</x:v>
      </x:c>
      <x:c r="L315" s="19" t="str"/>
      <x:c r="M315" s="19" t="str">
        <x:v>candidate:layered/L3_group/step_08_capping.group.json</x:v>
      </x:c>
    </x:row>
    <x:row r="316" ht="22.5" customHeight="1">
      <x:c r="A316" s="15" t="str">
        <x:v>apple_small</x:v>
      </x:c>
      <x:c r="B316" s="17" t="n">
        <x:v>8</x:v>
      </x:c>
      <x:c r="C316" s="17" t="n">
        <x:v>16</x:v>
      </x:c>
      <x:c r="D316" s="15" t="str">
        <x:v>move</x:v>
      </x:c>
      <x:c r="E316" s="15" t="str">
        <x:v>每瓶一次；每配方12次</x:v>
      </x:c>
      <x:c r="F316" s="15" t="str">
        <x:v>X / Y1 / Y2 / Z</x:v>
      </x:c>
      <x:c r="G316" s="15" t="n">
        <x:v>39</x:v>
      </x:c>
      <x:c r="H316" s="15" t="str">
        <x:v>closure_entry</x:v>
      </x:c>
      <x:c r="I316" s="15" t="str">
        <x:v>移动至 small closure entry；PR=(9,6,6,1)；仅变化轴触发</x:v>
      </x:c>
      <x:c r="J316" s="15" t="str">
        <x:v>四电机各20ms轮询/4000ms截止</x:v>
      </x:c>
      <x:c r="K316" s="15" t="str">
        <x:v>全部就绪；缓存四位置；UI使用X/Y1/Z</x:v>
      </x:c>
      <x:c r="L316" s="15" t="str">
        <x:v>MOTION_TIMEOUT</x:v>
      </x:c>
      <x:c r="M316" s="15" t="str">
        <x:v>candidate:layered/L3_group/step_08_capping.group.json</x:v>
      </x:c>
    </x:row>
    <x:row r="317" ht="34.5" customHeight="1">
      <x:c r="A317" s="19" t="str">
        <x:v>apple_small</x:v>
      </x:c>
      <x:c r="B317" s="18" t="n">
        <x:v>9</x:v>
      </x:c>
      <x:c r="C317" s="18" t="n">
        <x:v>1</x:v>
      </x:c>
      <x:c r="D317" s="19" t="str">
        <x:v>legacy</x:v>
      </x:c>
      <x:c r="E317" s="19" t="str">
        <x:v>每瓶一次；每配方12次</x:v>
      </x:c>
      <x:c r="F317" s="19" t="str"/>
      <x:c r="G317" s="19" t="str"/>
      <x:c r="H317" s="19" t="str">
        <x:v>stage</x:v>
      </x:c>
      <x:c r="I317" s="19" t="str">
        <x:v>更新UI=09</x:v>
      </x:c>
      <x:c r="J317" s="19" t="str"/>
      <x:c r="K317" s="19" t="str"/>
      <x:c r="L317" s="19" t="str"/>
      <x:c r="M317" s="19" t="str">
        <x:v>candidate:layered/L3_group/step_09_coding_labeling.group.json</x:v>
      </x:c>
    </x:row>
    <x:row r="318" ht="34.5" customHeight="1">
      <x:c r="A318" s="15" t="str">
        <x:v>apple_small</x:v>
      </x:c>
      <x:c r="B318" s="17" t="n">
        <x:v>9</x:v>
      </x:c>
      <x:c r="C318" s="17" t="n">
        <x:v>2</x:v>
      </x:c>
      <x:c r="D318" s="15" t="str">
        <x:v>move</x:v>
      </x:c>
      <x:c r="E318" s="15" t="str">
        <x:v>每瓶一次；每配方12次</x:v>
      </x:c>
      <x:c r="F318" s="15" t="str">
        <x:v>X / Y1 / Y2 / Z</x:v>
      </x:c>
      <x:c r="G318" s="15" t="n">
        <x:v>41</x:v>
      </x:c>
      <x:c r="H318" s="15" t="str">
        <x:v>code_entry</x:v>
      </x:c>
      <x:c r="I318" s="15" t="str">
        <x:v>移动至 small code entry；PR=(14,3,3,1)；仅变化轴触发</x:v>
      </x:c>
      <x:c r="J318" s="15" t="str">
        <x:v>四电机各20ms轮询/4000ms截止</x:v>
      </x:c>
      <x:c r="K318" s="15" t="str">
        <x:v>全部就绪；缓存四位置；UI使用X/Y1/Z</x:v>
      </x:c>
      <x:c r="L318" s="15" t="str">
        <x:v>MOTION_TIMEOUT</x:v>
      </x:c>
      <x:c r="M318" s="15" t="str">
        <x:v>candidate:layered/L3_group/step_09_coding_labeling.group.json</x:v>
      </x:c>
    </x:row>
    <x:row r="319" ht="34.5" customHeight="1">
      <x:c r="A319" s="19" t="str">
        <x:v>apple_small</x:v>
      </x:c>
      <x:c r="B319" s="18" t="n">
        <x:v>9</x:v>
      </x:c>
      <x:c r="C319" s="18" t="n">
        <x:v>3</x:v>
      </x:c>
      <x:c r="D319" s="19" t="str">
        <x:v>move</x:v>
      </x:c>
      <x:c r="E319" s="19" t="str">
        <x:v>每瓶一次；每配方12次</x:v>
      </x:c>
      <x:c r="F319" s="19" t="str">
        <x:v>X / Y1 / Y2 / Z</x:v>
      </x:c>
      <x:c r="G319" s="19" t="n">
        <x:v>42</x:v>
      </x:c>
      <x:c r="H319" s="19" t="str">
        <x:v>code_work</x:v>
      </x:c>
      <x:c r="I319" s="19" t="str">
        <x:v>移动至 small code work；PR=(14,3,3,4)；仅变化轴触发</x:v>
      </x:c>
      <x:c r="J319" s="19" t="str">
        <x:v>四电机各20ms轮询/4000ms截止</x:v>
      </x:c>
      <x:c r="K319" s="19" t="str">
        <x:v>全部就绪；缓存四位置；UI使用X/Y1/Z</x:v>
      </x:c>
      <x:c r="L319" s="19" t="str">
        <x:v>MOTION_TIMEOUT</x:v>
      </x:c>
      <x:c r="M319" s="19" t="str">
        <x:v>candidate:layered/L3_group/step_09_coding_labeling.group.json</x:v>
      </x:c>
    </x:row>
    <x:row r="320" ht="34.5" customHeight="1">
      <x:c r="A320" s="15" t="str">
        <x:v>apple_small</x:v>
      </x:c>
      <x:c r="B320" s="17" t="n">
        <x:v>9</x:v>
      </x:c>
      <x:c r="C320" s="17" t="n">
        <x:v>4</x:v>
      </x:c>
      <x:c r="D320" s="15" t="str">
        <x:v>legacy</x:v>
      </x:c>
      <x:c r="E320" s="15" t="str">
        <x:v>每瓶一次；每配方12次</x:v>
      </x:c>
      <x:c r="F320" s="15" t="str">
        <x:v>Relay</x:v>
      </x:c>
      <x:c r="G320" s="15" t="str"/>
      <x:c r="H320" s="15" t="str">
        <x:v>05 00 0C FF 00</x:v>
      </x:c>
      <x:c r="I320" s="15" t="str">
        <x:v>Coder mark</x:v>
      </x:c>
      <x:c r="J320" s="15" t="str"/>
      <x:c r="K320" s="15" t="str">
        <x:v>响应回显=05 00 0C FF 00</x:v>
      </x:c>
      <x:c r="L320" s="15" t="str"/>
      <x:c r="M320" s="15" t="str">
        <x:v>candidate:layered/L3_group/step_09_coding_labeling.group.json</x:v>
      </x:c>
    </x:row>
    <x:row r="321" ht="34.5" customHeight="1">
      <x:c r="A321" s="19" t="str">
        <x:v>apple_small</x:v>
      </x:c>
      <x:c r="B321" s="18" t="n">
        <x:v>9</x:v>
      </x:c>
      <x:c r="C321" s="18" t="n">
        <x:v>5</x:v>
      </x:c>
      <x:c r="D321" s="19" t="str">
        <x:v>legacy</x:v>
      </x:c>
      <x:c r="E321" s="19" t="str">
        <x:v>每瓶一次；每配方12次</x:v>
      </x:c>
      <x:c r="F321" s="19" t="str">
        <x:v>Relay</x:v>
      </x:c>
      <x:c r="G321" s="19" t="str"/>
      <x:c r="H321" s="19" t="str">
        <x:v>05 00 0C 00 00</x:v>
      </x:c>
      <x:c r="I321" s="19" t="str">
        <x:v>Coder stop</x:v>
      </x:c>
      <x:c r="J321" s="19" t="str"/>
      <x:c r="K321" s="19" t="str">
        <x:v>响应回显=05 00 0C 00 00</x:v>
      </x:c>
      <x:c r="L321" s="19" t="str"/>
      <x:c r="M321" s="19" t="str">
        <x:v>candidate:layered/L3_group/step_09_coding_labeling.group.json</x:v>
      </x:c>
    </x:row>
    <x:row r="322" ht="34.5" customHeight="1">
      <x:c r="A322" s="15" t="str">
        <x:v>apple_small</x:v>
      </x:c>
      <x:c r="B322" s="17" t="n">
        <x:v>9</x:v>
      </x:c>
      <x:c r="C322" s="17" t="n">
        <x:v>6</x:v>
      </x:c>
      <x:c r="D322" s="15" t="str">
        <x:v>legacy</x:v>
      </x:c>
      <x:c r="E322" s="15" t="str">
        <x:v>每瓶一次；每配方12次</x:v>
      </x:c>
      <x:c r="F322" s="15" t="str">
        <x:v>Relay</x:v>
      </x:c>
      <x:c r="G322" s="15" t="str"/>
      <x:c r="H322" s="15" t="str">
        <x:v>05 00 0D FF 00</x:v>
      </x:c>
      <x:c r="I322" s="15" t="str">
        <x:v>Labeler apply</x:v>
      </x:c>
      <x:c r="J322" s="15" t="str"/>
      <x:c r="K322" s="15" t="str">
        <x:v>响应回显=05 00 0D FF 00</x:v>
      </x:c>
      <x:c r="L322" s="15" t="str"/>
      <x:c r="M322" s="15" t="str">
        <x:v>candidate:layered/L3_group/step_09_coding_labeling.group.json</x:v>
      </x:c>
    </x:row>
    <x:row r="323" ht="34.5" customHeight="1">
      <x:c r="A323" s="19" t="str">
        <x:v>apple_small</x:v>
      </x:c>
      <x:c r="B323" s="18" t="n">
        <x:v>9</x:v>
      </x:c>
      <x:c r="C323" s="18" t="n">
        <x:v>7</x:v>
      </x:c>
      <x:c r="D323" s="19" t="str">
        <x:v>legacy</x:v>
      </x:c>
      <x:c r="E323" s="19" t="str">
        <x:v>每瓶一次；每配方12次</x:v>
      </x:c>
      <x:c r="F323" s="19" t="str">
        <x:v>Relay</x:v>
      </x:c>
      <x:c r="G323" s="19" t="str"/>
      <x:c r="H323" s="19" t="str">
        <x:v>05 00 0D 00 00</x:v>
      </x:c>
      <x:c r="I323" s="19" t="str">
        <x:v>Labeler stop</x:v>
      </x:c>
      <x:c r="J323" s="19" t="str"/>
      <x:c r="K323" s="19" t="str">
        <x:v>响应回显=05 00 0D 00 00</x:v>
      </x:c>
      <x:c r="L323" s="19" t="str"/>
      <x:c r="M323" s="19" t="str">
        <x:v>candidate:layered/L3_group/step_09_coding_labeling.group.json</x:v>
      </x:c>
    </x:row>
    <x:row r="324" ht="34.5" customHeight="1">
      <x:c r="A324" s="15" t="str">
        <x:v>apple_small</x:v>
      </x:c>
      <x:c r="B324" s="17" t="n">
        <x:v>9</x:v>
      </x:c>
      <x:c r="C324" s="17" t="n">
        <x:v>8</x:v>
      </x:c>
      <x:c r="D324" s="15" t="str">
        <x:v>legacy</x:v>
      </x:c>
      <x:c r="E324" s="15" t="str">
        <x:v>每瓶一次；每配方12次</x:v>
      </x:c>
      <x:c r="F324" s="15" t="str">
        <x:v>BottleSensor</x:v>
      </x:c>
      <x:c r="G324" s="15" t="str"/>
      <x:c r="H324" s="15" t="str">
        <x:v>04 00 47 00 01</x:v>
      </x:c>
      <x:c r="I324" s="15" t="str">
        <x:v>Check coding sensor</x:v>
      </x:c>
      <x:c r="J324" s="15" t="str">
        <x:v>每50ms；截止3000ms</x:v>
      </x:c>
      <x:c r="K324" s="15" t="str">
        <x:v>04 02 00 01</x:v>
      </x:c>
      <x:c r="L324" s="15" t="str">
        <x:v>CODE_POS_TIMEOUT</x:v>
      </x:c>
      <x:c r="M324" s="15" t="str">
        <x:v>candidate:layered/L3_group/step_09_coding_labeling.group.json</x:v>
      </x:c>
    </x:row>
    <x:row r="325" ht="34.5" customHeight="1">
      <x:c r="A325" s="19" t="str">
        <x:v>apple_small</x:v>
      </x:c>
      <x:c r="B325" s="18" t="n">
        <x:v>9</x:v>
      </x:c>
      <x:c r="C325" s="18" t="n">
        <x:v>9</x:v>
      </x:c>
      <x:c r="D325" s="19" t="str">
        <x:v>legacy</x:v>
      </x:c>
      <x:c r="E325" s="19" t="str">
        <x:v>每瓶一次；每配方12次</x:v>
      </x:c>
      <x:c r="F325" s="19" t="str"/>
      <x:c r="G325" s="19" t="str"/>
      <x:c r="H325" s="19" t="str">
        <x:v>CodeState</x:v>
      </x:c>
      <x:c r="I325" s="19" t="str">
        <x:v>更新UI=done</x:v>
      </x:c>
      <x:c r="J325" s="19" t="str"/>
      <x:c r="K325" s="19" t="str"/>
      <x:c r="L325" s="19" t="str"/>
      <x:c r="M325" s="19" t="str">
        <x:v>candidate:layered/L3_group/step_09_coding_labeling.group.json</x:v>
      </x:c>
    </x:row>
    <x:row r="326" ht="34.5" customHeight="1">
      <x:c r="A326" s="15" t="str">
        <x:v>apple_small</x:v>
      </x:c>
      <x:c r="B326" s="17" t="n">
        <x:v>9</x:v>
      </x:c>
      <x:c r="C326" s="17" t="n">
        <x:v>10</x:v>
      </x:c>
      <x:c r="D326" s="15" t="str">
        <x:v>move</x:v>
      </x:c>
      <x:c r="E326" s="15" t="str">
        <x:v>每瓶一次；每配方12次</x:v>
      </x:c>
      <x:c r="F326" s="15" t="str">
        <x:v>X / Y1 / Y2 / Z</x:v>
      </x:c>
      <x:c r="G326" s="15" t="n">
        <x:v>41</x:v>
      </x:c>
      <x:c r="H326" s="15" t="str">
        <x:v>code_entry</x:v>
      </x:c>
      <x:c r="I326" s="15" t="str">
        <x:v>移动至 small code entry；PR=(14,3,3,1)；仅变化轴触发</x:v>
      </x:c>
      <x:c r="J326" s="15" t="str">
        <x:v>四电机各20ms轮询/4000ms截止</x:v>
      </x:c>
      <x:c r="K326" s="15" t="str">
        <x:v>全部就绪；缓存四位置；UI使用X/Y1/Z</x:v>
      </x:c>
      <x:c r="L326" s="15" t="str">
        <x:v>MOTION_TIMEOUT</x:v>
      </x:c>
      <x:c r="M326" s="15" t="str">
        <x:v>candidate:layered/L3_group/step_09_coding_labeling.group.json</x:v>
      </x:c>
    </x:row>
    <x:row r="327" ht="34.5" customHeight="1">
      <x:c r="A327" s="19" t="str">
        <x:v>apple_small</x:v>
      </x:c>
      <x:c r="B327" s="18" t="n">
        <x:v>10</x:v>
      </x:c>
      <x:c r="C327" s="18" t="n">
        <x:v>1</x:v>
      </x:c>
      <x:c r="D327" s="19" t="str">
        <x:v>legacy</x:v>
      </x:c>
      <x:c r="E327" s="19" t="str">
        <x:v>每瓶一次；每配方12次</x:v>
      </x:c>
      <x:c r="F327" s="19" t="str"/>
      <x:c r="G327" s="19" t="str"/>
      <x:c r="H327" s="19" t="str">
        <x:v>stage</x:v>
      </x:c>
      <x:c r="I327" s="19" t="str">
        <x:v>更新UI=10</x:v>
      </x:c>
      <x:c r="J327" s="19" t="str"/>
      <x:c r="K327" s="19" t="str"/>
      <x:c r="L327" s="19" t="str"/>
      <x:c r="M327" s="19" t="str">
        <x:v>candidate:layered/L3_group/step_10_finished_product_discharge.group.json</x:v>
      </x:c>
    </x:row>
    <x:row r="328" ht="34.5" customHeight="1">
      <x:c r="A328" s="15" t="str">
        <x:v>apple_small</x:v>
      </x:c>
      <x:c r="B328" s="17" t="n">
        <x:v>10</x:v>
      </x:c>
      <x:c r="C328" s="17" t="n">
        <x:v>2</x:v>
      </x:c>
      <x:c r="D328" s="15" t="str">
        <x:v>move</x:v>
      </x:c>
      <x:c r="E328" s="15" t="str">
        <x:v>每瓶一次；每配方12次</x:v>
      </x:c>
      <x:c r="F328" s="15" t="str">
        <x:v>X / Y1 / Y2 / Z</x:v>
      </x:c>
      <x:c r="G328" s="15" t="n">
        <x:v>43</x:v>
      </x:c>
      <x:c r="H328" s="15" t="str">
        <x:v>finished_entry</x:v>
      </x:c>
      <x:c r="I328" s="15" t="str">
        <x:v>移动至 small finished entry；PR=(12,9,9,1)；仅变化轴触发</x:v>
      </x:c>
      <x:c r="J328" s="15" t="str">
        <x:v>四电机各20ms轮询/4000ms截止</x:v>
      </x:c>
      <x:c r="K328" s="15" t="str">
        <x:v>全部就绪；缓存四位置；UI使用X/Y1/Z</x:v>
      </x:c>
      <x:c r="L328" s="15" t="str">
        <x:v>MOTION_TIMEOUT</x:v>
      </x:c>
      <x:c r="M328" s="15" t="str">
        <x:v>candidate:layered/L3_group/step_10_finished_product_discharge.group.json</x:v>
      </x:c>
    </x:row>
    <x:row r="329" ht="34.5" customHeight="1">
      <x:c r="A329" s="19" t="str">
        <x:v>apple_small</x:v>
      </x:c>
      <x:c r="B329" s="18" t="n">
        <x:v>10</x:v>
      </x:c>
      <x:c r="C329" s="18" t="n">
        <x:v>3</x:v>
      </x:c>
      <x:c r="D329" s="19" t="str">
        <x:v>move</x:v>
      </x:c>
      <x:c r="E329" s="19" t="str">
        <x:v>每瓶一次；每配方12次</x:v>
      </x:c>
      <x:c r="F329" s="19" t="str">
        <x:v>X / Y1 / Y2 / Z</x:v>
      </x:c>
      <x:c r="G329" s="19" t="n">
        <x:v>44</x:v>
      </x:c>
      <x:c r="H329" s="19" t="str">
        <x:v>finished_work</x:v>
      </x:c>
      <x:c r="I329" s="19" t="str">
        <x:v>移动至 small finished work；PR=(12,9,9,4)；仅变化轴触发</x:v>
      </x:c>
      <x:c r="J329" s="19" t="str">
        <x:v>四电机各20ms轮询/4000ms截止</x:v>
      </x:c>
      <x:c r="K329" s="19" t="str">
        <x:v>全部就绪；缓存四位置；UI使用X/Y1/Z</x:v>
      </x:c>
      <x:c r="L329" s="19" t="str">
        <x:v>MOTION_TIMEOUT</x:v>
      </x:c>
      <x:c r="M329" s="19" t="str">
        <x:v>candidate:layered/L3_group/step_10_finished_product_discharge.group.json</x:v>
      </x:c>
    </x:row>
    <x:row r="330" ht="34.5" customHeight="1">
      <x:c r="A330" s="15" t="str">
        <x:v>apple_small</x:v>
      </x:c>
      <x:c r="B330" s="17" t="n">
        <x:v>10</x:v>
      </x:c>
      <x:c r="C330" s="17" t="n">
        <x:v>4</x:v>
      </x:c>
      <x:c r="D330" s="15" t="str">
        <x:v>coil</x:v>
      </x:c>
      <x:c r="E330" s="15" t="str">
        <x:v>每瓶一次；每配方12次</x:v>
      </x:c>
      <x:c r="F330" s="15" t="str">
        <x:v>Gripper</x:v>
      </x:c>
      <x:c r="G330" s="15" t="str"/>
      <x:c r="H330" s="15" t="str">
        <x:v>FC05 0x0000</x:v>
      </x:c>
      <x:c r="I330" s="15" t="str">
        <x:v>关闭</x:v>
      </x:c>
      <x:c r="J330" s="15" t="str"/>
      <x:c r="K330" s="15" t="str">
        <x:v>写入响应回显</x:v>
      </x:c>
      <x:c r="L330" s="15" t="str"/>
      <x:c r="M330" s="15" t="str">
        <x:v>candidate:layered/L3_group/step_10_finished_product_discharge.group.json</x:v>
      </x:c>
    </x:row>
    <x:row r="331" ht="34.5" customHeight="1">
      <x:c r="A331" s="19" t="str">
        <x:v>apple_small</x:v>
      </x:c>
      <x:c r="B331" s="18" t="n">
        <x:v>10</x:v>
      </x:c>
      <x:c r="C331" s="18" t="n">
        <x:v>5</x:v>
      </x:c>
      <x:c r="D331" s="19" t="str">
        <x:v>legacy</x:v>
      </x:c>
      <x:c r="E331" s="19" t="str">
        <x:v>每瓶一次；每配方12次</x:v>
      </x:c>
      <x:c r="F331" s="19" t="str">
        <x:v>Relay</x:v>
      </x:c>
      <x:c r="G331" s="19" t="str"/>
      <x:c r="H331" s="19" t="str">
        <x:v>05 00 08 FF 00</x:v>
      </x:c>
      <x:c r="I331" s="19" t="str">
        <x:v>Write Relay register 0008</x:v>
      </x:c>
      <x:c r="J331" s="19" t="str"/>
      <x:c r="K331" s="19" t="str">
        <x:v>响应回显=05 00 08 FF 00</x:v>
      </x:c>
      <x:c r="L331" s="19" t="str"/>
      <x:c r="M331" s="19" t="str">
        <x:v>candidate:layered/L3_group/step_10_finished_product_discharge.group.json</x:v>
      </x:c>
    </x:row>
    <x:row r="332" ht="34.5" customHeight="1">
      <x:c r="A332" s="15" t="str">
        <x:v>apple_small</x:v>
      </x:c>
      <x:c r="B332" s="17" t="n">
        <x:v>10</x:v>
      </x:c>
      <x:c r="C332" s="17" t="n">
        <x:v>6</x:v>
      </x:c>
      <x:c r="D332" s="15" t="str">
        <x:v>trigger</x:v>
      </x:c>
      <x:c r="E332" s="15" t="str">
        <x:v>每瓶一次；每配方12次</x:v>
      </x:c>
      <x:c r="F332" s="15" t="str">
        <x:v>Outfeed</x:v>
      </x:c>
      <x:c r="G332" s="15" t="str"/>
      <x:c r="H332" s="15" t="str">
        <x:v>FC06 0x6002=22</x:v>
      </x:c>
      <x:c r="I332" s="15" t="str">
        <x:v>触发预设PR6</x:v>
      </x:c>
      <x:c r="J332" s="15" t="str"/>
      <x:c r="K332" s="15" t="str">
        <x:v>写入响应回显</x:v>
      </x:c>
      <x:c r="L332" s="15" t="str"/>
      <x:c r="M332" s="15" t="str">
        <x:v>candidate:layered/L3_group/step_10_finished_product_discharge.group.json</x:v>
      </x:c>
    </x:row>
    <x:row r="333" ht="34.5" customHeight="1">
      <x:c r="A333" s="19" t="str">
        <x:v>apple_small</x:v>
      </x:c>
      <x:c r="B333" s="18" t="n">
        <x:v>10</x:v>
      </x:c>
      <x:c r="C333" s="18" t="n">
        <x:v>7</x:v>
      </x:c>
      <x:c r="D333" s="19" t="str">
        <x:v>ready</x:v>
      </x:c>
      <x:c r="E333" s="19" t="str">
        <x:v>每瓶一次；每配方12次</x:v>
      </x:c>
      <x:c r="F333" s="19" t="str">
        <x:v>Outfeed</x:v>
      </x:c>
      <x:c r="G333" s="19" t="str"/>
      <x:c r="H333" s="19" t="str">
        <x:v>FC04 0x0000</x:v>
      </x:c>
      <x:c r="I333" s="19" t="str">
        <x:v>等待设备完成</x:v>
      </x:c>
      <x:c r="J333" s="19" t="str">
        <x:v>每20ms；截止4000ms</x:v>
      </x:c>
      <x:c r="K333" s="19" t="str">
        <x:v>04 02 00 01</x:v>
      </x:c>
      <x:c r="L333" s="19" t="str">
        <x:v>OUTFEED_TIMEOUT</x:v>
      </x:c>
      <x:c r="M333" s="19" t="str">
        <x:v>candidate:layered/L3_group/step_10_finished_product_discharge.group.json</x:v>
      </x:c>
    </x:row>
    <x:row r="334" ht="34.5" customHeight="1">
      <x:c r="A334" s="15" t="str">
        <x:v>apple_small</x:v>
      </x:c>
      <x:c r="B334" s="17" t="n">
        <x:v>10</x:v>
      </x:c>
      <x:c r="C334" s="17" t="n">
        <x:v>8</x:v>
      </x:c>
      <x:c r="D334" s="15" t="str">
        <x:v>legacy</x:v>
      </x:c>
      <x:c r="E334" s="15" t="str">
        <x:v>每瓶一次；每配方12次</x:v>
      </x:c>
      <x:c r="F334" s="15" t="str">
        <x:v>BottleSensor</x:v>
      </x:c>
      <x:c r="G334" s="15" t="str"/>
      <x:c r="H334" s="15" t="str">
        <x:v>04 00 40 00 01</x:v>
      </x:c>
      <x:c r="I334" s="15" t="str">
        <x:v>Check discharge sensor</x:v>
      </x:c>
      <x:c r="J334" s="15" t="str">
        <x:v>每100ms；截止5000ms</x:v>
      </x:c>
      <x:c r="K334" s="15" t="str">
        <x:v>04 02 00 01</x:v>
      </x:c>
      <x:c r="L334" s="15" t="str">
        <x:v>OUT_SENSOR_TIMEOUT</x:v>
      </x:c>
      <x:c r="M334" s="15" t="str">
        <x:v>candidate:layered/L3_group/step_10_finished_product_discharge.group.json</x:v>
      </x:c>
    </x:row>
    <x:row r="335" ht="34.5" customHeight="1">
      <x:c r="A335" s="19" t="str">
        <x:v>apple_small</x:v>
      </x:c>
      <x:c r="B335" s="18" t="n">
        <x:v>10</x:v>
      </x:c>
      <x:c r="C335" s="18" t="n">
        <x:v>9</x:v>
      </x:c>
      <x:c r="D335" s="19" t="str">
        <x:v>legacy</x:v>
      </x:c>
      <x:c r="E335" s="19" t="str">
        <x:v>每瓶一次；每配方12次</x:v>
      </x:c>
      <x:c r="F335" s="19" t="str">
        <x:v>FlowMeter</x:v>
      </x:c>
      <x:c r="G335" s="19" t="str"/>
      <x:c r="H335" s="19" t="str">
        <x:v>03 00 20 00 02；解码={"cacheStartByte":2,"cacheLength":4,"cacheEndian":"big","valueType":"int"}</x:v>
      </x:c>
      <x:c r="I335" s="19" t="str">
        <x:v>缓存totalCount</x:v>
      </x:c>
      <x:c r="J335" s="19" t="str"/>
      <x:c r="K335" s="19" t="str"/>
      <x:c r="L335" s="19" t="str"/>
      <x:c r="M335" s="19" t="str">
        <x:v>candidate:layered/L3_group/step_10_finished_product_discharge.group.json</x:v>
      </x:c>
    </x:row>
    <x:row r="336" ht="34.5" customHeight="1">
      <x:c r="A336" s="15" t="str">
        <x:v>apple_small</x:v>
      </x:c>
      <x:c r="B336" s="17" t="n">
        <x:v>10</x:v>
      </x:c>
      <x:c r="C336" s="17" t="n">
        <x:v>10</x:v>
      </x:c>
      <x:c r="D336" s="15" t="str">
        <x:v>legacy</x:v>
      </x:c>
      <x:c r="E336" s="15" t="str">
        <x:v>每瓶一次；每配方12次</x:v>
      </x:c>
      <x:c r="F336" s="15" t="str">
        <x:v>Relay</x:v>
      </x:c>
      <x:c r="G336" s="15" t="str"/>
      <x:c r="H336" s="15" t="str">
        <x:v>05 00 08 00 00</x:v>
      </x:c>
      <x:c r="I336" s="15" t="str">
        <x:v>Write Relay register 0008</x:v>
      </x:c>
      <x:c r="J336" s="15" t="str"/>
      <x:c r="K336" s="15" t="str">
        <x:v>响应回显=05 00 08 00 00</x:v>
      </x:c>
      <x:c r="L336" s="15" t="str"/>
      <x:c r="M336" s="15" t="str">
        <x:v>candidate:layered/L3_group/step_10_finished_product_discharge.group.json</x:v>
      </x:c>
    </x:row>
    <x:row r="337" ht="34.5" customHeight="1">
      <x:c r="A337" s="19" t="str">
        <x:v>apple_small</x:v>
      </x:c>
      <x:c r="B337" s="18" t="n">
        <x:v>10</x:v>
      </x:c>
      <x:c r="C337" s="18" t="n">
        <x:v>11</x:v>
      </x:c>
      <x:c r="D337" s="19" t="str">
        <x:v>move</x:v>
      </x:c>
      <x:c r="E337" s="19" t="str">
        <x:v>每瓶一次；每配方12次</x:v>
      </x:c>
      <x:c r="F337" s="19" t="str">
        <x:v>X / Y1 / Y2 / Z</x:v>
      </x:c>
      <x:c r="G337" s="19" t="n">
        <x:v>43</x:v>
      </x:c>
      <x:c r="H337" s="19" t="str">
        <x:v>finished_entry</x:v>
      </x:c>
      <x:c r="I337" s="19" t="str">
        <x:v>移动至 small finished entry；PR=(12,9,9,1)；仅变化轴触发</x:v>
      </x:c>
      <x:c r="J337" s="19" t="str">
        <x:v>四电机各20ms轮询/4000ms截止</x:v>
      </x:c>
      <x:c r="K337" s="19" t="str">
        <x:v>全部就绪；缓存四位置；UI使用X/Y1/Z</x:v>
      </x:c>
      <x:c r="L337" s="19" t="str">
        <x:v>MOTION_TIMEOUT</x:v>
      </x:c>
      <x:c r="M337" s="19" t="str">
        <x:v>candidate:layered/L3_group/step_10_finished_product_discharge.group.json</x:v>
      </x:c>
    </x:row>
    <x:row r="338" ht="34.5" customHeight="1">
      <x:c r="A338" s="15" t="str">
        <x:v>apple_small</x:v>
      </x:c>
      <x:c r="B338" s="17" t="n">
        <x:v>10</x:v>
      </x:c>
      <x:c r="C338" s="17" t="n">
        <x:v>12</x:v>
      </x:c>
      <x:c r="D338" s="15" t="str">
        <x:v>count</x:v>
      </x:c>
      <x:c r="E338" s="15" t="str">
        <x:v>每瓶一次；每配方12次</x:v>
      </x:c>
      <x:c r="F338" s="15" t="str"/>
      <x:c r="G338" s="15" t="str"/>
      <x:c r="H338" s="15" t="str">
        <x:v>completed</x:v>
      </x:c>
      <x:c r="I338" s="15" t="str">
        <x:v>完成计数加1并刷新UI</x:v>
      </x:c>
      <x:c r="J338" s="15" t="str"/>
      <x:c r="K338" s="15" t="str"/>
      <x:c r="L338" s="15" t="str"/>
      <x:c r="M338" s="15" t="str">
        <x:v>candidate:layered/L3_group/step_10_finished_product_discharge.group.json</x:v>
      </x:c>
    </x:row>
    <x:row r="339" ht="34.5" customHeight="1">
      <x:c r="A339" s="19" t="str">
        <x:v>apple_small</x:v>
      </x:c>
      <x:c r="B339" s="18" t="n">
        <x:v>11</x:v>
      </x:c>
      <x:c r="C339" s="18" t="n">
        <x:v>1</x:v>
      </x:c>
      <x:c r="D339" s="19" t="str">
        <x:v>legacy</x:v>
      </x:c>
      <x:c r="E339" s="19" t="str">
        <x:v>每配方一次</x:v>
      </x:c>
      <x:c r="F339" s="19" t="str"/>
      <x:c r="G339" s="19" t="str"/>
      <x:c r="H339" s="19" t="str">
        <x:v>stage</x:v>
      </x:c>
      <x:c r="I339" s="19" t="str">
        <x:v>更新UI=11</x:v>
      </x:c>
      <x:c r="J339" s="19" t="str"/>
      <x:c r="K339" s="19" t="str"/>
      <x:c r="L339" s="19" t="str"/>
      <x:c r="M339" s="19" t="str">
        <x:v>candidate:layered/L3_group/step_11_cip_cleaning_sanitizing.group.json</x:v>
      </x:c>
    </x:row>
    <x:row r="340" ht="34.5" customHeight="1">
      <x:c r="A340" s="15" t="str">
        <x:v>apple_small</x:v>
      </x:c>
      <x:c r="B340" s="17" t="n">
        <x:v>11</x:v>
      </x:c>
      <x:c r="C340" s="17" t="n">
        <x:v>2</x:v>
      </x:c>
      <x:c r="D340" s="15" t="str">
        <x:v>legacy</x:v>
      </x:c>
      <x:c r="E340" s="15" t="str">
        <x:v>每配方一次</x:v>
      </x:c>
      <x:c r="F340" s="15" t="str">
        <x:v>CIPValve</x:v>
      </x:c>
      <x:c r="G340" s="15" t="str"/>
      <x:c r="H340" s="15" t="str">
        <x:v>05 00 13 FF 00</x:v>
      </x:c>
      <x:c r="I340" s="15" t="str">
        <x:v>Open CIP valve</x:v>
      </x:c>
      <x:c r="J340" s="15" t="str"/>
      <x:c r="K340" s="15" t="str">
        <x:v>响应回显=05 00 13 FF 00</x:v>
      </x:c>
      <x:c r="L340" s="15" t="str"/>
      <x:c r="M340" s="15" t="str">
        <x:v>candidate:layered/L3_group/step_11_cip_cleaning_sanitizing.group.json</x:v>
      </x:c>
    </x:row>
    <x:row r="341" ht="34.5" customHeight="1">
      <x:c r="A341" s="19" t="str">
        <x:v>apple_small</x:v>
      </x:c>
      <x:c r="B341" s="18" t="n">
        <x:v>11</x:v>
      </x:c>
      <x:c r="C341" s="18" t="n">
        <x:v>3</x:v>
      </x:c>
      <x:c r="D341" s="19" t="str">
        <x:v>legacy</x:v>
      </x:c>
      <x:c r="E341" s="19" t="str">
        <x:v>每配方一次</x:v>
      </x:c>
      <x:c r="F341" s="19" t="str">
        <x:v>Relay</x:v>
      </x:c>
      <x:c r="G341" s="19" t="str"/>
      <x:c r="H341" s="19" t="str">
        <x:v>05 00 0E FF 00</x:v>
      </x:c>
      <x:c r="I341" s="19" t="str">
        <x:v>CIP pump start</x:v>
      </x:c>
      <x:c r="J341" s="19" t="str"/>
      <x:c r="K341" s="19" t="str">
        <x:v>响应回显=05 00 0E FF 00</x:v>
      </x:c>
      <x:c r="L341" s="19" t="str"/>
      <x:c r="M341" s="19" t="str">
        <x:v>candidate:layered/L3_group/step_11_cip_cleaning_sanitizing.group.json</x:v>
      </x:c>
    </x:row>
    <x:row r="342" ht="34.5" customHeight="1">
      <x:c r="A342" s="15" t="str">
        <x:v>apple_small</x:v>
      </x:c>
      <x:c r="B342" s="17" t="n">
        <x:v>11</x:v>
      </x:c>
      <x:c r="C342" s="17" t="n">
        <x:v>4</x:v>
      </x:c>
      <x:c r="D342" s="15" t="str">
        <x:v>legacy</x:v>
      </x:c>
      <x:c r="E342" s="15" t="str">
        <x:v>每配方一次</x:v>
      </x:c>
      <x:c r="F342" s="15" t="str"/>
      <x:c r="G342" s="15" t="str"/>
      <x:c r="H342" s="15" t="str"/>
      <x:c r="I342" s="15" t="str">
        <x:v>显式等待(ms)</x:v>
      </x:c>
      <x:c r="J342" s="15" t="n">
        <x:v>120000</x:v>
      </x:c>
      <x:c r="K342" s="15" t="str"/>
      <x:c r="L342" s="15" t="str"/>
      <x:c r="M342" s="15" t="str">
        <x:v>candidate:layered/L3_group/step_11_cip_cleaning_sanitizing.group.json</x:v>
      </x:c>
    </x:row>
    <x:row r="343" ht="34.5" customHeight="1">
      <x:c r="A343" s="19" t="str">
        <x:v>apple_small</x:v>
      </x:c>
      <x:c r="B343" s="18" t="n">
        <x:v>11</x:v>
      </x:c>
      <x:c r="C343" s="18" t="n">
        <x:v>5</x:v>
      </x:c>
      <x:c r="D343" s="19" t="str">
        <x:v>legacy</x:v>
      </x:c>
      <x:c r="E343" s="19" t="str">
        <x:v>每配方一次</x:v>
      </x:c>
      <x:c r="F343" s="19" t="str">
        <x:v>PressureSensor</x:v>
      </x:c>
      <x:c r="G343" s="19" t="str"/>
      <x:c r="H343" s="19" t="str">
        <x:v>03 00 10 00 02；解码={"valueStartByte":2,"valueLength":4,"valueEndian":"little","valueType":"float"}</x:v>
      </x:c>
      <x:c r="I343" s="19" t="str">
        <x:v>Check CIP pressure &gt;= 0.3MPa</x:v>
      </x:c>
      <x:c r="J343" s="19" t="str"/>
      <x:c r="K343" s="19" t="str">
        <x:v>greaterOrEqual 0.3</x:v>
      </x:c>
      <x:c r="L343" s="19" t="str">
        <x:v>CIP_PRESSURE_LOW</x:v>
      </x:c>
      <x:c r="M343" s="19" t="str">
        <x:v>candidate:layered/L3_group/step_11_cip_cleaning_sanitizing.group.json</x:v>
      </x:c>
    </x:row>
    <x:row r="344" ht="34.5" customHeight="1">
      <x:c r="A344" s="15" t="str">
        <x:v>apple_small</x:v>
      </x:c>
      <x:c r="B344" s="17" t="n">
        <x:v>11</x:v>
      </x:c>
      <x:c r="C344" s="17" t="n">
        <x:v>6</x:v>
      </x:c>
      <x:c r="D344" s="15" t="str">
        <x:v>legacy</x:v>
      </x:c>
      <x:c r="E344" s="15" t="str">
        <x:v>每配方一次</x:v>
      </x:c>
      <x:c r="F344" s="15" t="str">
        <x:v>CIPValve</x:v>
      </x:c>
      <x:c r="G344" s="15" t="str"/>
      <x:c r="H344" s="15" t="str">
        <x:v>05 00 14 FF 00</x:v>
      </x:c>
      <x:c r="I344" s="15" t="str">
        <x:v>open Drain valve</x:v>
      </x:c>
      <x:c r="J344" s="15" t="str"/>
      <x:c r="K344" s="15" t="str">
        <x:v>响应回显=05 00 14 FF 00</x:v>
      </x:c>
      <x:c r="L344" s="15" t="str"/>
      <x:c r="M344" s="15" t="str">
        <x:v>candidate:layered/L3_group/step_11_cip_cleaning_sanitizing.group.json</x:v>
      </x:c>
    </x:row>
    <x:row r="345" ht="34.5" customHeight="1">
      <x:c r="A345" s="19" t="str">
        <x:v>apple_small</x:v>
      </x:c>
      <x:c r="B345" s="18" t="n">
        <x:v>11</x:v>
      </x:c>
      <x:c r="C345" s="18" t="n">
        <x:v>7</x:v>
      </x:c>
      <x:c r="D345" s="19" t="str">
        <x:v>legacy</x:v>
      </x:c>
      <x:c r="E345" s="19" t="str">
        <x:v>每配方一次</x:v>
      </x:c>
      <x:c r="F345" s="19" t="str"/>
      <x:c r="G345" s="19" t="str"/>
      <x:c r="H345" s="19" t="str"/>
      <x:c r="I345" s="19" t="str">
        <x:v>显式等待(ms)</x:v>
      </x:c>
      <x:c r="J345" s="19" t="n">
        <x:v>30000</x:v>
      </x:c>
      <x:c r="K345" s="19" t="str"/>
      <x:c r="L345" s="19" t="str"/>
      <x:c r="M345" s="19" t="str">
        <x:v>candidate:layered/L3_group/step_11_cip_cleaning_sanitizing.group.json</x:v>
      </x:c>
    </x:row>
    <x:row r="346" ht="34.5" customHeight="1">
      <x:c r="A346" s="15" t="str">
        <x:v>apple_small</x:v>
      </x:c>
      <x:c r="B346" s="17" t="n">
        <x:v>11</x:v>
      </x:c>
      <x:c r="C346" s="17" t="n">
        <x:v>8</x:v>
      </x:c>
      <x:c r="D346" s="15" t="str">
        <x:v>legacy</x:v>
      </x:c>
      <x:c r="E346" s="15" t="str">
        <x:v>每配方一次</x:v>
      </x:c>
      <x:c r="F346" s="15" t="str">
        <x:v>CIPValve</x:v>
      </x:c>
      <x:c r="G346" s="15" t="str"/>
      <x:c r="H346" s="15" t="str">
        <x:v>05 00 14 00 00</x:v>
      </x:c>
      <x:c r="I346" s="15" t="str">
        <x:v>close Drain valve</x:v>
      </x:c>
      <x:c r="J346" s="15" t="str"/>
      <x:c r="K346" s="15" t="str">
        <x:v>响应回显=05 00 14 00 00</x:v>
      </x:c>
      <x:c r="L346" s="15" t="str"/>
      <x:c r="M346" s="15" t="str">
        <x:v>candidate:layered/L3_group/step_11_cip_cleaning_sanitizing.group.json</x:v>
      </x:c>
    </x:row>
    <x:row r="347" ht="34.5" customHeight="1">
      <x:c r="A347" s="19" t="str">
        <x:v>apple_small</x:v>
      </x:c>
      <x:c r="B347" s="18" t="n">
        <x:v>11</x:v>
      </x:c>
      <x:c r="C347" s="18" t="n">
        <x:v>9</x:v>
      </x:c>
      <x:c r="D347" s="19" t="str">
        <x:v>legacy</x:v>
      </x:c>
      <x:c r="E347" s="19" t="str">
        <x:v>每配方一次</x:v>
      </x:c>
      <x:c r="F347" s="19" t="str">
        <x:v>Relay</x:v>
      </x:c>
      <x:c r="G347" s="19" t="str"/>
      <x:c r="H347" s="19" t="str">
        <x:v>05 00 0E 00 00</x:v>
      </x:c>
      <x:c r="I347" s="19" t="str">
        <x:v>CIP pump stop</x:v>
      </x:c>
      <x:c r="J347" s="19" t="str"/>
      <x:c r="K347" s="19" t="str">
        <x:v>响应回显=05 00 0E 00 00</x:v>
      </x:c>
      <x:c r="L347" s="19" t="str"/>
      <x:c r="M347" s="19" t="str">
        <x:v>candidate:layered/L3_group/step_11_cip_cleaning_sanitizing.group.json</x:v>
      </x:c>
    </x:row>
    <x:row r="348" ht="34.5" customHeight="1">
      <x:c r="A348" s="15" t="str">
        <x:v>apple_small</x:v>
      </x:c>
      <x:c r="B348" s="17" t="n">
        <x:v>11</x:v>
      </x:c>
      <x:c r="C348" s="17" t="n">
        <x:v>10</x:v>
      </x:c>
      <x:c r="D348" s="15" t="str">
        <x:v>legacy</x:v>
      </x:c>
      <x:c r="E348" s="15" t="str">
        <x:v>每配方一次</x:v>
      </x:c>
      <x:c r="F348" s="15" t="str">
        <x:v>RinseValve</x:v>
      </x:c>
      <x:c r="G348" s="15" t="str"/>
      <x:c r="H348" s="15" t="str">
        <x:v>05 00 12 FF 00</x:v>
      </x:c>
      <x:c r="I348" s="15" t="str">
        <x:v>open fresh water Rinse valve</x:v>
      </x:c>
      <x:c r="J348" s="15" t="str"/>
      <x:c r="K348" s="15" t="str">
        <x:v>响应回显=05 00 12 FF 00</x:v>
      </x:c>
      <x:c r="L348" s="15" t="str"/>
      <x:c r="M348" s="15" t="str">
        <x:v>candidate:layered/L3_group/step_11_cip_cleaning_sanitizing.group.json</x:v>
      </x:c>
    </x:row>
    <x:row r="349" ht="34.5" customHeight="1">
      <x:c r="A349" s="19" t="str">
        <x:v>apple_small</x:v>
      </x:c>
      <x:c r="B349" s="18" t="n">
        <x:v>11</x:v>
      </x:c>
      <x:c r="C349" s="18" t="n">
        <x:v>11</x:v>
      </x:c>
      <x:c r="D349" s="19" t="str">
        <x:v>legacy</x:v>
      </x:c>
      <x:c r="E349" s="19" t="str">
        <x:v>每配方一次</x:v>
      </x:c>
      <x:c r="F349" s="19" t="str"/>
      <x:c r="G349" s="19" t="str"/>
      <x:c r="H349" s="19" t="str"/>
      <x:c r="I349" s="19" t="str">
        <x:v>显式等待(ms)</x:v>
      </x:c>
      <x:c r="J349" s="19" t="n">
        <x:v>20000</x:v>
      </x:c>
      <x:c r="K349" s="19" t="str"/>
      <x:c r="L349" s="19" t="str"/>
      <x:c r="M349" s="19" t="str">
        <x:v>candidate:layered/L3_group/step_11_cip_cleaning_sanitizing.group.json</x:v>
      </x:c>
    </x:row>
    <x:row r="350" ht="34.5" customHeight="1">
      <x:c r="A350" s="15" t="str">
        <x:v>apple_small</x:v>
      </x:c>
      <x:c r="B350" s="17" t="n">
        <x:v>11</x:v>
      </x:c>
      <x:c r="C350" s="17" t="n">
        <x:v>12</x:v>
      </x:c>
      <x:c r="D350" s="15" t="str">
        <x:v>legacy</x:v>
      </x:c>
      <x:c r="E350" s="15" t="str">
        <x:v>每配方一次</x:v>
      </x:c>
      <x:c r="F350" s="15" t="str">
        <x:v>RinseValve</x:v>
      </x:c>
      <x:c r="G350" s="15" t="str"/>
      <x:c r="H350" s="15" t="str">
        <x:v>05 00 12 00 00</x:v>
      </x:c>
      <x:c r="I350" s="15" t="str">
        <x:v>close fresh water Rinse valve</x:v>
      </x:c>
      <x:c r="J350" s="15" t="str"/>
      <x:c r="K350" s="15" t="str">
        <x:v>响应回显=05 00 12 00 00</x:v>
      </x:c>
      <x:c r="L350" s="15" t="str"/>
      <x:c r="M350" s="15" t="str">
        <x:v>candidate:layered/L3_group/step_11_cip_cleaning_sanitizing.group.json</x:v>
      </x:c>
    </x:row>
    <x:row r="351" ht="34.5" customHeight="1">
      <x:c r="A351" s="19" t="str">
        <x:v>apple_small</x:v>
      </x:c>
      <x:c r="B351" s="18" t="n">
        <x:v>11</x:v>
      </x:c>
      <x:c r="C351" s="18" t="n">
        <x:v>13</x:v>
      </x:c>
      <x:c r="D351" s="19" t="str">
        <x:v>legacy</x:v>
      </x:c>
      <x:c r="E351" s="19" t="str">
        <x:v>每配方一次</x:v>
      </x:c>
      <x:c r="F351" s="19" t="str">
        <x:v>CIPValve</x:v>
      </x:c>
      <x:c r="G351" s="19" t="str"/>
      <x:c r="H351" s="19" t="str">
        <x:v>05 00 13 00 00</x:v>
      </x:c>
      <x:c r="I351" s="19" t="str">
        <x:v>Close CIP valve</x:v>
      </x:c>
      <x:c r="J351" s="19" t="str"/>
      <x:c r="K351" s="19" t="str">
        <x:v>响应回显=05 00 13 00 00</x:v>
      </x:c>
      <x:c r="L351" s="19" t="str"/>
      <x:c r="M351" s="19" t="str">
        <x:v>candidate:layered/L3_group/step_11_cip_cleaning_sanitizing.group.json</x:v>
      </x:c>
    </x:row>
    <x:row r="352" ht="34.5" customHeight="1">
      <x:c r="A352" s="15" t="str">
        <x:v>apple_small</x:v>
      </x:c>
      <x:c r="B352" s="17" t="n">
        <x:v>11</x:v>
      </x:c>
      <x:c r="C352" s="17" t="n">
        <x:v>14</x:v>
      </x:c>
      <x:c r="D352" s="15" t="str">
        <x:v>legacy</x:v>
      </x:c>
      <x:c r="E352" s="15" t="str">
        <x:v>每配方一次</x:v>
      </x:c>
      <x:c r="F352" s="15" t="str"/>
      <x:c r="G352" s="15" t="str"/>
      <x:c r="H352" s="15" t="str">
        <x:v>CIPState</x:v>
      </x:c>
      <x:c r="I352" s="15" t="str">
        <x:v>更新UI=done</x:v>
      </x:c>
      <x:c r="J352" s="15" t="str"/>
      <x:c r="K352" s="15" t="str"/>
      <x:c r="L352" s="15" t="str"/>
      <x:c r="M352" s="15" t="str">
        <x:v>candidate:layered/L3_group/step_11_cip_cleaning_sanitizing.group.json</x:v>
      </x:c>
    </x:row>
    <x:row r="353" ht="34.5" customHeight="1">
      <x:c r="A353" s="19" t="str">
        <x:v>apple_small</x:v>
      </x:c>
      <x:c r="B353" s="18" t="n">
        <x:v>12</x:v>
      </x:c>
      <x:c r="C353" s="18" t="n">
        <x:v>1</x:v>
      </x:c>
      <x:c r="D353" s="19" t="str">
        <x:v>legacy</x:v>
      </x:c>
      <x:c r="E353" s="19" t="str">
        <x:v>每配方一次</x:v>
      </x:c>
      <x:c r="F353" s="19" t="str"/>
      <x:c r="G353" s="19" t="str"/>
      <x:c r="H353" s="19" t="str">
        <x:v>stage</x:v>
      </x:c>
      <x:c r="I353" s="19" t="str">
        <x:v>更新UI=12</x:v>
      </x:c>
      <x:c r="J353" s="19" t="str"/>
      <x:c r="K353" s="19" t="str"/>
      <x:c r="L353" s="19" t="str"/>
      <x:c r="M353" s="19" t="str">
        <x:v>candidate:layered/L3_group/step_12_homing_standby.group.json</x:v>
      </x:c>
    </x:row>
    <x:row r="354" ht="34.5" customHeight="1">
      <x:c r="A354" s="15" t="str">
        <x:v>apple_small</x:v>
      </x:c>
      <x:c r="B354" s="17" t="n">
        <x:v>12</x:v>
      </x:c>
      <x:c r="C354" s="17" t="n">
        <x:v>2</x:v>
      </x:c>
      <x:c r="D354" s="15" t="str">
        <x:v>legacy</x:v>
      </x:c>
      <x:c r="E354" s="15" t="str">
        <x:v>每配方一次</x:v>
      </x:c>
      <x:c r="F354" s="15" t="str">
        <x:v>OrangeFill</x:v>
      </x:c>
      <x:c r="G354" s="15" t="str"/>
      <x:c r="H354" s="15" t="str">
        <x:v>05 00 00 00 00</x:v>
      </x:c>
      <x:c r="I354" s="15" t="str">
        <x:v>Write OrangeFill register 0000</x:v>
      </x:c>
      <x:c r="J354" s="15" t="str"/>
      <x:c r="K354" s="15" t="str">
        <x:v>响应回显=05 00 00 00 00</x:v>
      </x:c>
      <x:c r="L354" s="15" t="str"/>
      <x:c r="M354" s="15" t="str">
        <x:v>candidate:layered/L3_group/step_12_homing_standby.group.json</x:v>
      </x:c>
    </x:row>
    <x:row r="355" ht="34.5" customHeight="1">
      <x:c r="A355" s="19" t="str">
        <x:v>apple_small</x:v>
      </x:c>
      <x:c r="B355" s="18" t="n">
        <x:v>12</x:v>
      </x:c>
      <x:c r="C355" s="18" t="n">
        <x:v>3</x:v>
      </x:c>
      <x:c r="D355" s="19" t="str">
        <x:v>legacy</x:v>
      </x:c>
      <x:c r="E355" s="19" t="str">
        <x:v>每配方一次</x:v>
      </x:c>
      <x:c r="F355" s="19" t="str">
        <x:v>AppleFill</x:v>
      </x:c>
      <x:c r="G355" s="19" t="str"/>
      <x:c r="H355" s="19" t="str">
        <x:v>05 00 00 00 00</x:v>
      </x:c>
      <x:c r="I355" s="19" t="str">
        <x:v>Write AppleFill register 0000</x:v>
      </x:c>
      <x:c r="J355" s="19" t="str"/>
      <x:c r="K355" s="19" t="str">
        <x:v>响应回显=05 00 00 00 00</x:v>
      </x:c>
      <x:c r="L355" s="19" t="str"/>
      <x:c r="M355" s="19" t="str">
        <x:v>candidate:layered/L3_group/step_12_homing_standby.group.json</x:v>
      </x:c>
    </x:row>
    <x:row r="356" ht="34.5" customHeight="1">
      <x:c r="A356" s="15" t="str">
        <x:v>apple_small</x:v>
      </x:c>
      <x:c r="B356" s="17" t="n">
        <x:v>12</x:v>
      </x:c>
      <x:c r="C356" s="17" t="n">
        <x:v>4</x:v>
      </x:c>
      <x:c r="D356" s="15" t="str">
        <x:v>legacy</x:v>
      </x:c>
      <x:c r="E356" s="15" t="str">
        <x:v>每配方一次</x:v>
      </x:c>
      <x:c r="F356" s="15" t="str">
        <x:v>GrapeFill</x:v>
      </x:c>
      <x:c r="G356" s="15" t="str"/>
      <x:c r="H356" s="15" t="str">
        <x:v>05 00 00 00 00</x:v>
      </x:c>
      <x:c r="I356" s="15" t="str">
        <x:v>Write GrapeFill register 0000</x:v>
      </x:c>
      <x:c r="J356" s="15" t="str"/>
      <x:c r="K356" s="15" t="str">
        <x:v>响应回显=05 00 00 00 00</x:v>
      </x:c>
      <x:c r="L356" s="15" t="str"/>
      <x:c r="M356" s="15" t="str">
        <x:v>candidate:layered/L3_group/step_12_homing_standby.group.json</x:v>
      </x:c>
    </x:row>
    <x:row r="357" ht="34.5" customHeight="1">
      <x:c r="A357" s="19" t="str">
        <x:v>apple_small</x:v>
      </x:c>
      <x:c r="B357" s="18" t="n">
        <x:v>12</x:v>
      </x:c>
      <x:c r="C357" s="18" t="n">
        <x:v>5</x:v>
      </x:c>
      <x:c r="D357" s="19" t="str">
        <x:v>legacy</x:v>
      </x:c>
      <x:c r="E357" s="19" t="str">
        <x:v>每配方一次</x:v>
      </x:c>
      <x:c r="F357" s="19" t="str">
        <x:v>Gripper</x:v>
      </x:c>
      <x:c r="G357" s="19" t="str"/>
      <x:c r="H357" s="19" t="str">
        <x:v>05 00 00 00 00</x:v>
      </x:c>
      <x:c r="I357" s="19" t="str">
        <x:v>Write Gripper register 0000</x:v>
      </x:c>
      <x:c r="J357" s="19" t="str"/>
      <x:c r="K357" s="19" t="str">
        <x:v>响应回显=05 00 00 00 00</x:v>
      </x:c>
      <x:c r="L357" s="19" t="str"/>
      <x:c r="M357" s="19" t="str">
        <x:v>candidate:layered/L3_group/step_12_homing_standby.group.json</x:v>
      </x:c>
    </x:row>
    <x:row r="358" ht="34.5" customHeight="1">
      <x:c r="A358" s="15" t="str">
        <x:v>apple_small</x:v>
      </x:c>
      <x:c r="B358" s="17" t="n">
        <x:v>12</x:v>
      </x:c>
      <x:c r="C358" s="17" t="n">
        <x:v>6</x:v>
      </x:c>
      <x:c r="D358" s="15" t="str">
        <x:v>legacy</x:v>
      </x:c>
      <x:c r="E358" s="15" t="str">
        <x:v>每配方一次</x:v>
      </x:c>
      <x:c r="F358" s="15" t="str">
        <x:v>CapFeeder</x:v>
      </x:c>
      <x:c r="G358" s="15" t="str"/>
      <x:c r="H358" s="15" t="str">
        <x:v>05 00 00 00 00</x:v>
      </x:c>
      <x:c r="I358" s="15" t="str">
        <x:v>Write CapFeeder register 0000</x:v>
      </x:c>
      <x:c r="J358" s="15" t="str"/>
      <x:c r="K358" s="15" t="str">
        <x:v>响应回显=05 00 00 00 00</x:v>
      </x:c>
      <x:c r="L358" s="15" t="str"/>
      <x:c r="M358" s="15" t="str">
        <x:v>candidate:layered/L3_group/step_12_homing_standby.group.json</x:v>
      </x:c>
    </x:row>
    <x:row r="359" ht="34.5" customHeight="1">
      <x:c r="A359" s="19" t="str">
        <x:v>apple_small</x:v>
      </x:c>
      <x:c r="B359" s="18" t="n">
        <x:v>12</x:v>
      </x:c>
      <x:c r="C359" s="18" t="n">
        <x:v>7</x:v>
      </x:c>
      <x:c r="D359" s="19" t="str">
        <x:v>legacy</x:v>
      </x:c>
      <x:c r="E359" s="19" t="str">
        <x:v>每配方一次</x:v>
      </x:c>
      <x:c r="F359" s="19" t="str">
        <x:v>RinseValve</x:v>
      </x:c>
      <x:c r="G359" s="19" t="str"/>
      <x:c r="H359" s="19" t="str">
        <x:v>05 00 12 00 00</x:v>
      </x:c>
      <x:c r="I359" s="19" t="str">
        <x:v>Write RinseValve register 0012</x:v>
      </x:c>
      <x:c r="J359" s="19" t="str"/>
      <x:c r="K359" s="19" t="str">
        <x:v>响应回显=05 00 12 00 00</x:v>
      </x:c>
      <x:c r="L359" s="19" t="str"/>
      <x:c r="M359" s="19" t="str">
        <x:v>candidate:layered/L3_group/step_12_homing_standby.group.json</x:v>
      </x:c>
    </x:row>
    <x:row r="360" ht="34.5" customHeight="1">
      <x:c r="A360" s="15" t="str">
        <x:v>apple_small</x:v>
      </x:c>
      <x:c r="B360" s="17" t="n">
        <x:v>12</x:v>
      </x:c>
      <x:c r="C360" s="17" t="n">
        <x:v>8</x:v>
      </x:c>
      <x:c r="D360" s="15" t="str">
        <x:v>legacy</x:v>
      </x:c>
      <x:c r="E360" s="15" t="str">
        <x:v>每配方一次</x:v>
      </x:c>
      <x:c r="F360" s="15" t="str">
        <x:v>CIPValve</x:v>
      </x:c>
      <x:c r="G360" s="15" t="str"/>
      <x:c r="H360" s="15" t="str">
        <x:v>05 00 13 00 00</x:v>
      </x:c>
      <x:c r="I360" s="15" t="str">
        <x:v>Write CIPValve register 0013</x:v>
      </x:c>
      <x:c r="J360" s="15" t="str"/>
      <x:c r="K360" s="15" t="str">
        <x:v>响应回显=05 00 13 00 00</x:v>
      </x:c>
      <x:c r="L360" s="15" t="str"/>
      <x:c r="M360" s="15" t="str">
        <x:v>candidate:layered/L3_group/step_12_homing_standby.group.json</x:v>
      </x:c>
    </x:row>
    <x:row r="361" ht="34.5" customHeight="1">
      <x:c r="A361" s="19" t="str">
        <x:v>apple_small</x:v>
      </x:c>
      <x:c r="B361" s="18" t="n">
        <x:v>12</x:v>
      </x:c>
      <x:c r="C361" s="18" t="n">
        <x:v>9</x:v>
      </x:c>
      <x:c r="D361" s="19" t="str">
        <x:v>legacy</x:v>
      </x:c>
      <x:c r="E361" s="19" t="str">
        <x:v>每配方一次</x:v>
      </x:c>
      <x:c r="F361" s="19" t="str">
        <x:v>CIPValve</x:v>
      </x:c>
      <x:c r="G361" s="19" t="str"/>
      <x:c r="H361" s="19" t="str">
        <x:v>05 00 14 00 00</x:v>
      </x:c>
      <x:c r="I361" s="19" t="str">
        <x:v>Write CIPValve register 0014</x:v>
      </x:c>
      <x:c r="J361" s="19" t="str"/>
      <x:c r="K361" s="19" t="str">
        <x:v>响应回显=05 00 14 00 00</x:v>
      </x:c>
      <x:c r="L361" s="19" t="str"/>
      <x:c r="M361" s="19" t="str">
        <x:v>candidate:layered/L3_group/step_12_homing_standby.group.json</x:v>
      </x:c>
    </x:row>
    <x:row r="362" ht="34.5" customHeight="1">
      <x:c r="A362" s="15" t="str">
        <x:v>apple_small</x:v>
      </x:c>
      <x:c r="B362" s="17" t="n">
        <x:v>12</x:v>
      </x:c>
      <x:c r="C362" s="17" t="n">
        <x:v>10</x:v>
      </x:c>
      <x:c r="D362" s="15" t="str">
        <x:v>legacy</x:v>
      </x:c>
      <x:c r="E362" s="15" t="str">
        <x:v>每配方一次</x:v>
      </x:c>
      <x:c r="F362" s="15" t="str">
        <x:v>Relay</x:v>
      </x:c>
      <x:c r="G362" s="15" t="str"/>
      <x:c r="H362" s="15" t="str">
        <x:v>05 00 08 00 00</x:v>
      </x:c>
      <x:c r="I362" s="15" t="str">
        <x:v>Write Relay register 0008</x:v>
      </x:c>
      <x:c r="J362" s="15" t="str"/>
      <x:c r="K362" s="15" t="str">
        <x:v>响应回显=05 00 08 00 00</x:v>
      </x:c>
      <x:c r="L362" s="15" t="str"/>
      <x:c r="M362" s="15" t="str">
        <x:v>candidate:layered/L3_group/step_12_homing_standby.group.json</x:v>
      </x:c>
    </x:row>
    <x:row r="363" ht="34.5" customHeight="1">
      <x:c r="A363" s="19" t="str">
        <x:v>apple_small</x:v>
      </x:c>
      <x:c r="B363" s="18" t="n">
        <x:v>12</x:v>
      </x:c>
      <x:c r="C363" s="18" t="n">
        <x:v>11</x:v>
      </x:c>
      <x:c r="D363" s="19" t="str">
        <x:v>legacy</x:v>
      </x:c>
      <x:c r="E363" s="19" t="str">
        <x:v>每配方一次</x:v>
      </x:c>
      <x:c r="F363" s="19" t="str">
        <x:v>Relay</x:v>
      </x:c>
      <x:c r="G363" s="19" t="str"/>
      <x:c r="H363" s="19" t="str">
        <x:v>05 00 09 00 00</x:v>
      </x:c>
      <x:c r="I363" s="19" t="str">
        <x:v>Write Relay register 0009</x:v>
      </x:c>
      <x:c r="J363" s="19" t="str"/>
      <x:c r="K363" s="19" t="str">
        <x:v>响应回显=05 00 09 00 00</x:v>
      </x:c>
      <x:c r="L363" s="19" t="str"/>
      <x:c r="M363" s="19" t="str">
        <x:v>candidate:layered/L3_group/step_12_homing_standby.group.json</x:v>
      </x:c>
    </x:row>
    <x:row r="364" ht="34.5" customHeight="1">
      <x:c r="A364" s="15" t="str">
        <x:v>apple_small</x:v>
      </x:c>
      <x:c r="B364" s="17" t="n">
        <x:v>12</x:v>
      </x:c>
      <x:c r="C364" s="17" t="n">
        <x:v>12</x:v>
      </x:c>
      <x:c r="D364" s="15" t="str">
        <x:v>legacy</x:v>
      </x:c>
      <x:c r="E364" s="15" t="str">
        <x:v>每配方一次</x:v>
      </x:c>
      <x:c r="F364" s="15" t="str">
        <x:v>Relay</x:v>
      </x:c>
      <x:c r="G364" s="15" t="str"/>
      <x:c r="H364" s="15" t="str">
        <x:v>05 00 0A 00 00</x:v>
      </x:c>
      <x:c r="I364" s="15" t="str">
        <x:v>Write Relay register 000A</x:v>
      </x:c>
      <x:c r="J364" s="15" t="str"/>
      <x:c r="K364" s="15" t="str">
        <x:v>响应回显=05 00 0A 00 00</x:v>
      </x:c>
      <x:c r="L364" s="15" t="str"/>
      <x:c r="M364" s="15" t="str">
        <x:v>candidate:layered/L3_group/step_12_homing_standby.group.json</x:v>
      </x:c>
    </x:row>
    <x:row r="365" ht="34.5" customHeight="1">
      <x:c r="A365" s="19" t="str">
        <x:v>apple_small</x:v>
      </x:c>
      <x:c r="B365" s="18" t="n">
        <x:v>12</x:v>
      </x:c>
      <x:c r="C365" s="18" t="n">
        <x:v>13</x:v>
      </x:c>
      <x:c r="D365" s="19" t="str">
        <x:v>legacy</x:v>
      </x:c>
      <x:c r="E365" s="19" t="str">
        <x:v>每配方一次</x:v>
      </x:c>
      <x:c r="F365" s="19" t="str">
        <x:v>Relay</x:v>
      </x:c>
      <x:c r="G365" s="19" t="str"/>
      <x:c r="H365" s="19" t="str">
        <x:v>05 00 0B 00 00</x:v>
      </x:c>
      <x:c r="I365" s="19" t="str">
        <x:v>Write Relay register 000B</x:v>
      </x:c>
      <x:c r="J365" s="19" t="str"/>
      <x:c r="K365" s="19" t="str">
        <x:v>响应回显=05 00 0B 00 00</x:v>
      </x:c>
      <x:c r="L365" s="19" t="str"/>
      <x:c r="M365" s="19" t="str">
        <x:v>candidate:layered/L3_group/step_12_homing_standby.group.json</x:v>
      </x:c>
    </x:row>
    <x:row r="366" ht="34.5" customHeight="1">
      <x:c r="A366" s="15" t="str">
        <x:v>apple_small</x:v>
      </x:c>
      <x:c r="B366" s="17" t="n">
        <x:v>12</x:v>
      </x:c>
      <x:c r="C366" s="17" t="n">
        <x:v>14</x:v>
      </x:c>
      <x:c r="D366" s="15" t="str">
        <x:v>legacy</x:v>
      </x:c>
      <x:c r="E366" s="15" t="str">
        <x:v>每配方一次</x:v>
      </x:c>
      <x:c r="F366" s="15" t="str">
        <x:v>Relay</x:v>
      </x:c>
      <x:c r="G366" s="15" t="str"/>
      <x:c r="H366" s="15" t="str">
        <x:v>05 00 0C 00 00</x:v>
      </x:c>
      <x:c r="I366" s="15" t="str">
        <x:v>Write Relay register 000C</x:v>
      </x:c>
      <x:c r="J366" s="15" t="str"/>
      <x:c r="K366" s="15" t="str">
        <x:v>响应回显=05 00 0C 00 00</x:v>
      </x:c>
      <x:c r="L366" s="15" t="str"/>
      <x:c r="M366" s="15" t="str">
        <x:v>candidate:layered/L3_group/step_12_homing_standby.group.json</x:v>
      </x:c>
    </x:row>
    <x:row r="367" ht="34.5" customHeight="1">
      <x:c r="A367" s="19" t="str">
        <x:v>apple_small</x:v>
      </x:c>
      <x:c r="B367" s="18" t="n">
        <x:v>12</x:v>
      </x:c>
      <x:c r="C367" s="18" t="n">
        <x:v>15</x:v>
      </x:c>
      <x:c r="D367" s="19" t="str">
        <x:v>legacy</x:v>
      </x:c>
      <x:c r="E367" s="19" t="str">
        <x:v>每配方一次</x:v>
      </x:c>
      <x:c r="F367" s="19" t="str">
        <x:v>Relay</x:v>
      </x:c>
      <x:c r="G367" s="19" t="str"/>
      <x:c r="H367" s="19" t="str">
        <x:v>05 00 0D 00 00</x:v>
      </x:c>
      <x:c r="I367" s="19" t="str">
        <x:v>Write Relay register 000D</x:v>
      </x:c>
      <x:c r="J367" s="19" t="str"/>
      <x:c r="K367" s="19" t="str">
        <x:v>响应回显=05 00 0D 00 00</x:v>
      </x:c>
      <x:c r="L367" s="19" t="str"/>
      <x:c r="M367" s="19" t="str">
        <x:v>candidate:layered/L3_group/step_12_homing_standby.group.json</x:v>
      </x:c>
    </x:row>
    <x:row r="368" ht="34.5" customHeight="1">
      <x:c r="A368" s="15" t="str">
        <x:v>apple_small</x:v>
      </x:c>
      <x:c r="B368" s="17" t="n">
        <x:v>12</x:v>
      </x:c>
      <x:c r="C368" s="17" t="n">
        <x:v>16</x:v>
      </x:c>
      <x:c r="D368" s="15" t="str">
        <x:v>legacy</x:v>
      </x:c>
      <x:c r="E368" s="15" t="str">
        <x:v>每配方一次</x:v>
      </x:c>
      <x:c r="F368" s="15" t="str">
        <x:v>Relay</x:v>
      </x:c>
      <x:c r="G368" s="15" t="str"/>
      <x:c r="H368" s="15" t="str">
        <x:v>05 00 0E 00 00</x:v>
      </x:c>
      <x:c r="I368" s="15" t="str">
        <x:v>Write Relay register 000E</x:v>
      </x:c>
      <x:c r="J368" s="15" t="str"/>
      <x:c r="K368" s="15" t="str">
        <x:v>响应回显=05 00 0E 00 00</x:v>
      </x:c>
      <x:c r="L368" s="15" t="str"/>
      <x:c r="M368" s="15" t="str">
        <x:v>candidate:layered/L3_group/step_12_homing_standby.group.json</x:v>
      </x:c>
    </x:row>
    <x:row r="369" ht="34.5" customHeight="1">
      <x:c r="A369" s="19" t="str">
        <x:v>apple_small</x:v>
      </x:c>
      <x:c r="B369" s="18" t="n">
        <x:v>12</x:v>
      </x:c>
      <x:c r="C369" s="18" t="n">
        <x:v>17</x:v>
      </x:c>
      <x:c r="D369" s="19" t="str">
        <x:v>trigger</x:v>
      </x:c>
      <x:c r="E369" s="19" t="str">
        <x:v>每配方一次</x:v>
      </x:c>
      <x:c r="F369" s="19" t="str">
        <x:v>X</x:v>
      </x:c>
      <x:c r="G369" s="19" t="str"/>
      <x:c r="H369" s="19" t="str">
        <x:v>FC06 0x6002=16</x:v>
      </x:c>
      <x:c r="I369" s="19" t="str">
        <x:v>触发预设PR0</x:v>
      </x:c>
      <x:c r="J369" s="19" t="str"/>
      <x:c r="K369" s="19" t="str">
        <x:v>写入响应回显</x:v>
      </x:c>
      <x:c r="L369" s="19" t="str"/>
      <x:c r="M369" s="19" t="str">
        <x:v>candidate:layered/L3_group/step_12_homing_standby.group.json</x:v>
      </x:c>
    </x:row>
    <x:row r="370" ht="34.5" customHeight="1">
      <x:c r="A370" s="15" t="str">
        <x:v>apple_small</x:v>
      </x:c>
      <x:c r="B370" s="17" t="n">
        <x:v>12</x:v>
      </x:c>
      <x:c r="C370" s="17" t="n">
        <x:v>18</x:v>
      </x:c>
      <x:c r="D370" s="15" t="str">
        <x:v>trigger</x:v>
      </x:c>
      <x:c r="E370" s="15" t="str">
        <x:v>每配方一次</x:v>
      </x:c>
      <x:c r="F370" s="15" t="str">
        <x:v>Y1</x:v>
      </x:c>
      <x:c r="G370" s="15" t="str"/>
      <x:c r="H370" s="15" t="str">
        <x:v>FC06 0x6002=16</x:v>
      </x:c>
      <x:c r="I370" s="15" t="str">
        <x:v>触发预设PR0</x:v>
      </x:c>
      <x:c r="J370" s="15" t="str"/>
      <x:c r="K370" s="15" t="str">
        <x:v>写入响应回显</x:v>
      </x:c>
      <x:c r="L370" s="15" t="str"/>
      <x:c r="M370" s="15" t="str">
        <x:v>candidate:layered/L3_group/step_12_homing_standby.group.json</x:v>
      </x:c>
    </x:row>
    <x:row r="371" ht="34.5" customHeight="1">
      <x:c r="A371" s="19" t="str">
        <x:v>apple_small</x:v>
      </x:c>
      <x:c r="B371" s="18" t="n">
        <x:v>12</x:v>
      </x:c>
      <x:c r="C371" s="18" t="n">
        <x:v>19</x:v>
      </x:c>
      <x:c r="D371" s="19" t="str">
        <x:v>trigger</x:v>
      </x:c>
      <x:c r="E371" s="19" t="str">
        <x:v>每配方一次</x:v>
      </x:c>
      <x:c r="F371" s="19" t="str">
        <x:v>Y2</x:v>
      </x:c>
      <x:c r="G371" s="19" t="str"/>
      <x:c r="H371" s="19" t="str">
        <x:v>FC06 0x6002=16</x:v>
      </x:c>
      <x:c r="I371" s="19" t="str">
        <x:v>触发预设PR0</x:v>
      </x:c>
      <x:c r="J371" s="19" t="str"/>
      <x:c r="K371" s="19" t="str">
        <x:v>写入响应回显</x:v>
      </x:c>
      <x:c r="L371" s="19" t="str"/>
      <x:c r="M371" s="19" t="str">
        <x:v>candidate:layered/L3_group/step_12_homing_standby.group.json</x:v>
      </x:c>
    </x:row>
    <x:row r="372" ht="34.5" customHeight="1">
      <x:c r="A372" s="15" t="str">
        <x:v>apple_small</x:v>
      </x:c>
      <x:c r="B372" s="17" t="n">
        <x:v>12</x:v>
      </x:c>
      <x:c r="C372" s="17" t="n">
        <x:v>20</x:v>
      </x:c>
      <x:c r="D372" s="15" t="str">
        <x:v>trigger</x:v>
      </x:c>
      <x:c r="E372" s="15" t="str">
        <x:v>每配方一次</x:v>
      </x:c>
      <x:c r="F372" s="15" t="str">
        <x:v>Z</x:v>
      </x:c>
      <x:c r="G372" s="15" t="str"/>
      <x:c r="H372" s="15" t="str">
        <x:v>FC06 0x6002=16</x:v>
      </x:c>
      <x:c r="I372" s="15" t="str">
        <x:v>触发预设PR0</x:v>
      </x:c>
      <x:c r="J372" s="15" t="str"/>
      <x:c r="K372" s="15" t="str">
        <x:v>写入响应回显</x:v>
      </x:c>
      <x:c r="L372" s="15" t="str"/>
      <x:c r="M372" s="15" t="str">
        <x:v>candidate:layered/L3_group/step_12_homing_standby.group.json</x:v>
      </x:c>
    </x:row>
    <x:row r="373" ht="34.5" customHeight="1">
      <x:c r="A373" s="19" t="str">
        <x:v>apple_small</x:v>
      </x:c>
      <x:c r="B373" s="18" t="n">
        <x:v>12</x:v>
      </x:c>
      <x:c r="C373" s="18" t="n">
        <x:v>21</x:v>
      </x:c>
      <x:c r="D373" s="19" t="str">
        <x:v>ready</x:v>
      </x:c>
      <x:c r="E373" s="19" t="str">
        <x:v>每配方一次</x:v>
      </x:c>
      <x:c r="F373" s="19" t="str">
        <x:v>X</x:v>
      </x:c>
      <x:c r="G373" s="19" t="str"/>
      <x:c r="H373" s="19" t="str">
        <x:v>FC04 0x0000</x:v>
      </x:c>
      <x:c r="I373" s="19" t="str">
        <x:v>等待设备完成</x:v>
      </x:c>
      <x:c r="J373" s="19" t="str">
        <x:v>每20ms；截止4000ms</x:v>
      </x:c>
      <x:c r="K373" s="19" t="str">
        <x:v>04 02 00 01</x:v>
      </x:c>
      <x:c r="L373" s="19" t="str">
        <x:v>HOME_TIMEOUT</x:v>
      </x:c>
      <x:c r="M373" s="19" t="str">
        <x:v>candidate:layered/L3_group/step_12_homing_standby.group.json</x:v>
      </x:c>
    </x:row>
    <x:row r="374" ht="34.5" customHeight="1">
      <x:c r="A374" s="15" t="str">
        <x:v>apple_small</x:v>
      </x:c>
      <x:c r="B374" s="17" t="n">
        <x:v>12</x:v>
      </x:c>
      <x:c r="C374" s="17" t="n">
        <x:v>22</x:v>
      </x:c>
      <x:c r="D374" s="15" t="str">
        <x:v>ready</x:v>
      </x:c>
      <x:c r="E374" s="15" t="str">
        <x:v>每配方一次</x:v>
      </x:c>
      <x:c r="F374" s="15" t="str">
        <x:v>Y1</x:v>
      </x:c>
      <x:c r="G374" s="15" t="str"/>
      <x:c r="H374" s="15" t="str">
        <x:v>FC04 0x0000</x:v>
      </x:c>
      <x:c r="I374" s="15" t="str">
        <x:v>等待设备完成</x:v>
      </x:c>
      <x:c r="J374" s="15" t="str">
        <x:v>每20ms；截止4000ms</x:v>
      </x:c>
      <x:c r="K374" s="15" t="str">
        <x:v>04 02 00 01</x:v>
      </x:c>
      <x:c r="L374" s="15" t="str">
        <x:v>HOME_TIMEOUT</x:v>
      </x:c>
      <x:c r="M374" s="15" t="str">
        <x:v>candidate:layered/L3_group/step_12_homing_standby.group.json</x:v>
      </x:c>
    </x:row>
    <x:row r="375" ht="34.5" customHeight="1">
      <x:c r="A375" s="19" t="str">
        <x:v>apple_small</x:v>
      </x:c>
      <x:c r="B375" s="18" t="n">
        <x:v>12</x:v>
      </x:c>
      <x:c r="C375" s="18" t="n">
        <x:v>23</x:v>
      </x:c>
      <x:c r="D375" s="19" t="str">
        <x:v>ready</x:v>
      </x:c>
      <x:c r="E375" s="19" t="str">
        <x:v>每配方一次</x:v>
      </x:c>
      <x:c r="F375" s="19" t="str">
        <x:v>Y2</x:v>
      </x:c>
      <x:c r="G375" s="19" t="str"/>
      <x:c r="H375" s="19" t="str">
        <x:v>FC04 0x0000</x:v>
      </x:c>
      <x:c r="I375" s="19" t="str">
        <x:v>等待设备完成</x:v>
      </x:c>
      <x:c r="J375" s="19" t="str">
        <x:v>每20ms；截止4000ms</x:v>
      </x:c>
      <x:c r="K375" s="19" t="str">
        <x:v>04 02 00 01</x:v>
      </x:c>
      <x:c r="L375" s="19" t="str">
        <x:v>HOME_TIMEOUT</x:v>
      </x:c>
      <x:c r="M375" s="19" t="str">
        <x:v>candidate:layered/L3_group/step_12_homing_standby.group.json</x:v>
      </x:c>
    </x:row>
    <x:row r="376" ht="34.5" customHeight="1">
      <x:c r="A376" s="15" t="str">
        <x:v>apple_small</x:v>
      </x:c>
      <x:c r="B376" s="17" t="n">
        <x:v>12</x:v>
      </x:c>
      <x:c r="C376" s="17" t="n">
        <x:v>24</x:v>
      </x:c>
      <x:c r="D376" s="15" t="str">
        <x:v>ready</x:v>
      </x:c>
      <x:c r="E376" s="15" t="str">
        <x:v>每配方一次</x:v>
      </x:c>
      <x:c r="F376" s="15" t="str">
        <x:v>Z</x:v>
      </x:c>
      <x:c r="G376" s="15" t="str"/>
      <x:c r="H376" s="15" t="str">
        <x:v>FC04 0x0000</x:v>
      </x:c>
      <x:c r="I376" s="15" t="str">
        <x:v>等待设备完成</x:v>
      </x:c>
      <x:c r="J376" s="15" t="str">
        <x:v>每20ms；截止4000ms</x:v>
      </x:c>
      <x:c r="K376" s="15" t="str">
        <x:v>04 02 00 01</x:v>
      </x:c>
      <x:c r="L376" s="15" t="str">
        <x:v>HOME_TIMEOUT</x:v>
      </x:c>
      <x:c r="M376" s="15" t="str">
        <x:v>candidate:layered/L3_group/step_12_homing_standby.group.json</x:v>
      </x:c>
    </x:row>
    <x:row r="377" ht="34.5" customHeight="1">
      <x:c r="A377" s="19" t="str">
        <x:v>apple_small</x:v>
      </x:c>
      <x:c r="B377" s="18" t="n">
        <x:v>12</x:v>
      </x:c>
      <x:c r="C377" s="18" t="n">
        <x:v>25</x:v>
      </x:c>
      <x:c r="D377" s="19" t="str">
        <x:v>legacy</x:v>
      </x:c>
      <x:c r="E377" s="19" t="str">
        <x:v>每配方一次</x:v>
      </x:c>
      <x:c r="F377" s="19" t="str"/>
      <x:c r="G377" s="19" t="str"/>
      <x:c r="H377" s="19" t="str">
        <x:v>last_x_pr</x:v>
      </x:c>
      <x:c r="I377" s="19" t="str">
        <x:v>设置变量=0</x:v>
      </x:c>
      <x:c r="J377" s="19" t="str"/>
      <x:c r="K377" s="19" t="str"/>
      <x:c r="L377" s="19" t="str"/>
      <x:c r="M377" s="19" t="str">
        <x:v>candidate:layered/L3_group/step_12_homing_standby.group.json</x:v>
      </x:c>
    </x:row>
    <x:row r="378" ht="34.5" customHeight="1">
      <x:c r="A378" s="15" t="str">
        <x:v>apple_small</x:v>
      </x:c>
      <x:c r="B378" s="17" t="n">
        <x:v>12</x:v>
      </x:c>
      <x:c r="C378" s="17" t="n">
        <x:v>26</x:v>
      </x:c>
      <x:c r="D378" s="15" t="str">
        <x:v>legacy</x:v>
      </x:c>
      <x:c r="E378" s="15" t="str">
        <x:v>每配方一次</x:v>
      </x:c>
      <x:c r="F378" s="15" t="str"/>
      <x:c r="G378" s="15" t="str"/>
      <x:c r="H378" s="15" t="str">
        <x:v>last_y_pr</x:v>
      </x:c>
      <x:c r="I378" s="15" t="str">
        <x:v>设置变量=0</x:v>
      </x:c>
      <x:c r="J378" s="15" t="str"/>
      <x:c r="K378" s="15" t="str"/>
      <x:c r="L378" s="15" t="str"/>
      <x:c r="M378" s="15" t="str">
        <x:v>candidate:layered/L3_group/step_12_homing_standby.group.json</x:v>
      </x:c>
    </x:row>
    <x:row r="379" ht="34.5" customHeight="1">
      <x:c r="A379" s="19" t="str">
        <x:v>apple_small</x:v>
      </x:c>
      <x:c r="B379" s="18" t="n">
        <x:v>12</x:v>
      </x:c>
      <x:c r="C379" s="18" t="n">
        <x:v>27</x:v>
      </x:c>
      <x:c r="D379" s="19" t="str">
        <x:v>legacy</x:v>
      </x:c>
      <x:c r="E379" s="19" t="str">
        <x:v>每配方一次</x:v>
      </x:c>
      <x:c r="F379" s="19" t="str"/>
      <x:c r="G379" s="19" t="str"/>
      <x:c r="H379" s="19" t="str">
        <x:v>last_z_pr</x:v>
      </x:c>
      <x:c r="I379" s="19" t="str">
        <x:v>设置变量=0</x:v>
      </x:c>
      <x:c r="J379" s="19" t="str"/>
      <x:c r="K379" s="19" t="str"/>
      <x:c r="L379" s="19" t="str"/>
      <x:c r="M379" s="19" t="str">
        <x:v>candidate:layered/L3_group/step_12_homing_standby.group.json</x:v>
      </x:c>
    </x:row>
    <x:row r="380" ht="34.5" customHeight="1">
      <x:c r="A380" s="15" t="str">
        <x:v>apple_small</x:v>
      </x:c>
      <x:c r="B380" s="17" t="n">
        <x:v>12</x:v>
      </x:c>
      <x:c r="C380" s="17" t="n">
        <x:v>28</x:v>
      </x:c>
      <x:c r="D380" s="15" t="str">
        <x:v>refresh</x:v>
      </x:c>
      <x:c r="E380" s="15" t="str">
        <x:v>每配方一次</x:v>
      </x:c>
      <x:c r="F380" s="15" t="str">
        <x:v>X / Y1 / Y2 / Z</x:v>
      </x:c>
      <x:c r="G380" s="15" t="str"/>
      <x:c r="H380" s="15" t="str">
        <x:v>FC03 0x602C, 2 registers</x:v>
      </x:c>
      <x:c r="I380" s="15" t="str">
        <x:v>缓存四电机坐标；更新centerX/centerY/centerZ（centerY=Y1）</x:v>
      </x:c>
      <x:c r="J380" s="15" t="str"/>
      <x:c r="K380" s="15" t="str"/>
      <x:c r="L380" s="15" t="str"/>
      <x:c r="M380" s="15" t="str">
        <x:v>candidate:layered/L3_group/step_12_homing_standby.group.json</x:v>
      </x:c>
    </x:row>
    <x:row r="381" ht="34.5" customHeight="1">
      <x:c r="A381" s="19" t="str">
        <x:v>apple_small</x:v>
      </x:c>
      <x:c r="B381" s="18" t="n">
        <x:v>12</x:v>
      </x:c>
      <x:c r="C381" s="18" t="n">
        <x:v>29</x:v>
      </x:c>
      <x:c r="D381" s="19" t="str">
        <x:v>legacy</x:v>
      </x:c>
      <x:c r="E381" s="19" t="str">
        <x:v>每配方一次</x:v>
      </x:c>
      <x:c r="F381" s="19" t="str">
        <x:v>X</x:v>
      </x:c>
      <x:c r="G381" s="19" t="str"/>
      <x:c r="H381" s="19" t="str">
        <x:v>03 22 03 00 01；解码={"valueStartByte":2,"valueLength":2,"valueEndian":"big","valueType":"int"}</x:v>
      </x:c>
      <x:c r="I381" s="19" t="str">
        <x:v>X alarm self-check</x:v>
      </x:c>
      <x:c r="J381" s="19" t="str"/>
      <x:c r="K381" s="19" t="str">
        <x:v>equal 0</x:v>
      </x:c>
      <x:c r="L381" s="19" t="str">
        <x:v>X_ALARM</x:v>
      </x:c>
      <x:c r="M381" s="19" t="str">
        <x:v>candidate:layered/L3_group/step_12_homing_standby.group.json</x:v>
      </x:c>
    </x:row>
    <x:row r="382" ht="34.5" customHeight="1">
      <x:c r="A382" s="15" t="str">
        <x:v>apple_small</x:v>
      </x:c>
      <x:c r="B382" s="17" t="n">
        <x:v>12</x:v>
      </x:c>
      <x:c r="C382" s="17" t="n">
        <x:v>30</x:v>
      </x:c>
      <x:c r="D382" s="15" t="str">
        <x:v>legacy</x:v>
      </x:c>
      <x:c r="E382" s="15" t="str">
        <x:v>每配方一次</x:v>
      </x:c>
      <x:c r="F382" s="15" t="str">
        <x:v>Y1</x:v>
      </x:c>
      <x:c r="G382" s="15" t="str"/>
      <x:c r="H382" s="15" t="str">
        <x:v>03 22 03 00 01；解码={"valueStartByte":2,"valueLength":2,"valueEndian":"big","valueType":"int"}</x:v>
      </x:c>
      <x:c r="I382" s="15" t="str">
        <x:v>Y1: Y alarm self-check</x:v>
      </x:c>
      <x:c r="J382" s="15" t="str"/>
      <x:c r="K382" s="15" t="str">
        <x:v>equal 0</x:v>
      </x:c>
      <x:c r="L382" s="15" t="str">
        <x:v>Y_ALARM</x:v>
      </x:c>
      <x:c r="M382" s="15" t="str">
        <x:v>candidate:layered/L3_group/step_12_homing_standby.group.json</x:v>
      </x:c>
    </x:row>
    <x:row r="383" ht="34.5" customHeight="1">
      <x:c r="A383" s="19" t="str">
        <x:v>apple_small</x:v>
      </x:c>
      <x:c r="B383" s="18" t="n">
        <x:v>12</x:v>
      </x:c>
      <x:c r="C383" s="18" t="n">
        <x:v>31</x:v>
      </x:c>
      <x:c r="D383" s="19" t="str">
        <x:v>legacy</x:v>
      </x:c>
      <x:c r="E383" s="19" t="str">
        <x:v>每配方一次</x:v>
      </x:c>
      <x:c r="F383" s="19" t="str">
        <x:v>Y2</x:v>
      </x:c>
      <x:c r="G383" s="19" t="str"/>
      <x:c r="H383" s="19" t="str">
        <x:v>03 22 03 00 01；解码={"valueStartByte":2,"valueLength":2,"valueEndian":"big","valueType":"int"}</x:v>
      </x:c>
      <x:c r="I383" s="19" t="str">
        <x:v>Y2: Y alarm self-check</x:v>
      </x:c>
      <x:c r="J383" s="19" t="str"/>
      <x:c r="K383" s="19" t="str">
        <x:v>equal 0</x:v>
      </x:c>
      <x:c r="L383" s="19" t="str">
        <x:v>Y_ALARM_Y2</x:v>
      </x:c>
      <x:c r="M383" s="19" t="str">
        <x:v>candidate:layered/L3_group/step_12_homing_standby.group.json</x:v>
      </x:c>
    </x:row>
    <x:row r="384" ht="34.5" customHeight="1">
      <x:c r="A384" s="15" t="str">
        <x:v>apple_small</x:v>
      </x:c>
      <x:c r="B384" s="17" t="n">
        <x:v>12</x:v>
      </x:c>
      <x:c r="C384" s="17" t="n">
        <x:v>32</x:v>
      </x:c>
      <x:c r="D384" s="15" t="str">
        <x:v>legacy</x:v>
      </x:c>
      <x:c r="E384" s="15" t="str">
        <x:v>每配方一次</x:v>
      </x:c>
      <x:c r="F384" s="15" t="str">
        <x:v>Z</x:v>
      </x:c>
      <x:c r="G384" s="15" t="str"/>
      <x:c r="H384" s="15" t="str">
        <x:v>03 22 03 00 01；解码={"valueStartByte":2,"valueLength":2,"valueEndian":"big","valueType":"int"}</x:v>
      </x:c>
      <x:c r="I384" s="15" t="str">
        <x:v>Z alarm self-check</x:v>
      </x:c>
      <x:c r="J384" s="15" t="str"/>
      <x:c r="K384" s="15" t="str">
        <x:v>equal 0</x:v>
      </x:c>
      <x:c r="L384" s="15" t="str">
        <x:v>Z_ALARM</x:v>
      </x:c>
      <x:c r="M384" s="15" t="str">
        <x:v>candidate:layered/L3_group/step_12_homing_standby.group.json</x:v>
      </x:c>
    </x:row>
    <x:row r="385" ht="34.5" customHeight="1">
      <x:c r="A385" s="19" t="str">
        <x:v>apple_small</x:v>
      </x:c>
      <x:c r="B385" s="18" t="n">
        <x:v>12</x:v>
      </x:c>
      <x:c r="C385" s="18" t="n">
        <x:v>33</x:v>
      </x:c>
      <x:c r="D385" s="19" t="str">
        <x:v>legacy</x:v>
      </x:c>
      <x:c r="E385" s="19" t="str">
        <x:v>每配方一次</x:v>
      </x:c>
      <x:c r="F385" s="19" t="str"/>
      <x:c r="G385" s="19" t="str"/>
      <x:c r="H385" s="19" t="str">
        <x:v>SystemState</x:v>
      </x:c>
      <x:c r="I385" s="19" t="str">
        <x:v>更新UI=standby</x:v>
      </x:c>
      <x:c r="J385" s="19" t="str"/>
      <x:c r="K385" s="19" t="str"/>
      <x:c r="L385" s="19" t="str"/>
      <x:c r="M385" s="19" t="str">
        <x:v>candidate:layered/L3_group/step_12_homing_standby.group.json</x:v>
      </x:c>
    </x:row>
    <x:row r="386" ht="34.5" customHeight="1">
      <x:c r="A386" s="15" t="str">
        <x:v>grape_small</x:v>
      </x:c>
      <x:c r="B386" s="17" t="n">
        <x:v>1</x:v>
      </x:c>
      <x:c r="C386" s="17" t="n">
        <x:v>1</x:v>
      </x:c>
      <x:c r="D386" s="15" t="str">
        <x:v>legacy</x:v>
      </x:c>
      <x:c r="E386" s="15" t="str">
        <x:v>每配方一次</x:v>
      </x:c>
      <x:c r="F386" s="15" t="str"/>
      <x:c r="G386" s="15" t="str"/>
      <x:c r="H386" s="15" t="str">
        <x:v>stage</x:v>
      </x:c>
      <x:c r="I386" s="15" t="str">
        <x:v>更新UI=01</x:v>
      </x:c>
      <x:c r="J386" s="15" t="str"/>
      <x:c r="K386" s="15" t="str"/>
      <x:c r="L386" s="15" t="str"/>
      <x:c r="M386" s="15" t="str">
        <x:v>candidate:layered/L3_group/step_01_system_initialization.group.json</x:v>
      </x:c>
    </x:row>
    <x:row r="387" ht="34.5" customHeight="1">
      <x:c r="A387" s="19" t="str">
        <x:v>grape_small</x:v>
      </x:c>
      <x:c r="B387" s="18" t="n">
        <x:v>1</x:v>
      </x:c>
      <x:c r="C387" s="18" t="n">
        <x:v>2</x:v>
      </x:c>
      <x:c r="D387" s="19" t="str">
        <x:v>legacy</x:v>
      </x:c>
      <x:c r="E387" s="19" t="str">
        <x:v>每配方一次</x:v>
      </x:c>
      <x:c r="F387" s="19" t="str">
        <x:v>OrangeFill</x:v>
      </x:c>
      <x:c r="G387" s="19" t="str"/>
      <x:c r="H387" s="19" t="str">
        <x:v>05 00 00 00 00</x:v>
      </x:c>
      <x:c r="I387" s="19" t="str">
        <x:v>Write OrangeFill register 0000</x:v>
      </x:c>
      <x:c r="J387" s="19" t="str"/>
      <x:c r="K387" s="19" t="str">
        <x:v>响应回显=05 00 00 00 00</x:v>
      </x:c>
      <x:c r="L387" s="19" t="str"/>
      <x:c r="M387" s="19" t="str">
        <x:v>candidate:layered/L3_group/step_01_system_initialization.group.json</x:v>
      </x:c>
    </x:row>
    <x:row r="388" ht="34.5" customHeight="1">
      <x:c r="A388" s="15" t="str">
        <x:v>grape_small</x:v>
      </x:c>
      <x:c r="B388" s="17" t="n">
        <x:v>1</x:v>
      </x:c>
      <x:c r="C388" s="17" t="n">
        <x:v>3</x:v>
      </x:c>
      <x:c r="D388" s="15" t="str">
        <x:v>legacy</x:v>
      </x:c>
      <x:c r="E388" s="15" t="str">
        <x:v>每配方一次</x:v>
      </x:c>
      <x:c r="F388" s="15" t="str">
        <x:v>AppleFill</x:v>
      </x:c>
      <x:c r="G388" s="15" t="str"/>
      <x:c r="H388" s="15" t="str">
        <x:v>05 00 00 00 00</x:v>
      </x:c>
      <x:c r="I388" s="15" t="str">
        <x:v>Write AppleFill register 0000</x:v>
      </x:c>
      <x:c r="J388" s="15" t="str"/>
      <x:c r="K388" s="15" t="str">
        <x:v>响应回显=05 00 00 00 00</x:v>
      </x:c>
      <x:c r="L388" s="15" t="str"/>
      <x:c r="M388" s="15" t="str">
        <x:v>candidate:layered/L3_group/step_01_system_initialization.group.json</x:v>
      </x:c>
    </x:row>
    <x:row r="389" ht="34.5" customHeight="1">
      <x:c r="A389" s="19" t="str">
        <x:v>grape_small</x:v>
      </x:c>
      <x:c r="B389" s="18" t="n">
        <x:v>1</x:v>
      </x:c>
      <x:c r="C389" s="18" t="n">
        <x:v>4</x:v>
      </x:c>
      <x:c r="D389" s="19" t="str">
        <x:v>legacy</x:v>
      </x:c>
      <x:c r="E389" s="19" t="str">
        <x:v>每配方一次</x:v>
      </x:c>
      <x:c r="F389" s="19" t="str">
        <x:v>GrapeFill</x:v>
      </x:c>
      <x:c r="G389" s="19" t="str"/>
      <x:c r="H389" s="19" t="str">
        <x:v>05 00 00 00 00</x:v>
      </x:c>
      <x:c r="I389" s="19" t="str">
        <x:v>Write GrapeFill register 0000</x:v>
      </x:c>
      <x:c r="J389" s="19" t="str"/>
      <x:c r="K389" s="19" t="str">
        <x:v>响应回显=05 00 00 00 00</x:v>
      </x:c>
      <x:c r="L389" s="19" t="str"/>
      <x:c r="M389" s="19" t="str">
        <x:v>candidate:layered/L3_group/step_01_system_initialization.group.json</x:v>
      </x:c>
    </x:row>
    <x:row r="390" ht="34.5" customHeight="1">
      <x:c r="A390" s="15" t="str">
        <x:v>grape_small</x:v>
      </x:c>
      <x:c r="B390" s="17" t="n">
        <x:v>1</x:v>
      </x:c>
      <x:c r="C390" s="17" t="n">
        <x:v>5</x:v>
      </x:c>
      <x:c r="D390" s="15" t="str">
        <x:v>legacy</x:v>
      </x:c>
      <x:c r="E390" s="15" t="str">
        <x:v>每配方一次</x:v>
      </x:c>
      <x:c r="F390" s="15" t="str">
        <x:v>Gripper</x:v>
      </x:c>
      <x:c r="G390" s="15" t="str"/>
      <x:c r="H390" s="15" t="str">
        <x:v>05 00 00 00 00</x:v>
      </x:c>
      <x:c r="I390" s="15" t="str">
        <x:v>Write Gripper register 0000</x:v>
      </x:c>
      <x:c r="J390" s="15" t="str"/>
      <x:c r="K390" s="15" t="str">
        <x:v>响应回显=05 00 00 00 00</x:v>
      </x:c>
      <x:c r="L390" s="15" t="str"/>
      <x:c r="M390" s="15" t="str">
        <x:v>candidate:layered/L3_group/step_01_system_initialization.group.json</x:v>
      </x:c>
    </x:row>
    <x:row r="391" ht="34.5" customHeight="1">
      <x:c r="A391" s="19" t="str">
        <x:v>grape_small</x:v>
      </x:c>
      <x:c r="B391" s="18" t="n">
        <x:v>1</x:v>
      </x:c>
      <x:c r="C391" s="18" t="n">
        <x:v>6</x:v>
      </x:c>
      <x:c r="D391" s="19" t="str">
        <x:v>legacy</x:v>
      </x:c>
      <x:c r="E391" s="19" t="str">
        <x:v>每配方一次</x:v>
      </x:c>
      <x:c r="F391" s="19" t="str">
        <x:v>CapFeeder</x:v>
      </x:c>
      <x:c r="G391" s="19" t="str"/>
      <x:c r="H391" s="19" t="str">
        <x:v>05 00 00 00 00</x:v>
      </x:c>
      <x:c r="I391" s="19" t="str">
        <x:v>Write CapFeeder register 0000</x:v>
      </x:c>
      <x:c r="J391" s="19" t="str"/>
      <x:c r="K391" s="19" t="str">
        <x:v>响应回显=05 00 00 00 00</x:v>
      </x:c>
      <x:c r="L391" s="19" t="str"/>
      <x:c r="M391" s="19" t="str">
        <x:v>candidate:layered/L3_group/step_01_system_initialization.group.json</x:v>
      </x:c>
    </x:row>
    <x:row r="392" ht="34.5" customHeight="1">
      <x:c r="A392" s="15" t="str">
        <x:v>grape_small</x:v>
      </x:c>
      <x:c r="B392" s="17" t="n">
        <x:v>1</x:v>
      </x:c>
      <x:c r="C392" s="17" t="n">
        <x:v>7</x:v>
      </x:c>
      <x:c r="D392" s="15" t="str">
        <x:v>legacy</x:v>
      </x:c>
      <x:c r="E392" s="15" t="str">
        <x:v>每配方一次</x:v>
      </x:c>
      <x:c r="F392" s="15" t="str">
        <x:v>RinseValve</x:v>
      </x:c>
      <x:c r="G392" s="15" t="str"/>
      <x:c r="H392" s="15" t="str">
        <x:v>05 00 12 00 00</x:v>
      </x:c>
      <x:c r="I392" s="15" t="str">
        <x:v>Write RinseValve register 0012</x:v>
      </x:c>
      <x:c r="J392" s="15" t="str"/>
      <x:c r="K392" s="15" t="str">
        <x:v>响应回显=05 00 12 00 00</x:v>
      </x:c>
      <x:c r="L392" s="15" t="str"/>
      <x:c r="M392" s="15" t="str">
        <x:v>candidate:layered/L3_group/step_01_system_initialization.group.json</x:v>
      </x:c>
    </x:row>
    <x:row r="393" ht="34.5" customHeight="1">
      <x:c r="A393" s="19" t="str">
        <x:v>grape_small</x:v>
      </x:c>
      <x:c r="B393" s="18" t="n">
        <x:v>1</x:v>
      </x:c>
      <x:c r="C393" s="18" t="n">
        <x:v>8</x:v>
      </x:c>
      <x:c r="D393" s="19" t="str">
        <x:v>legacy</x:v>
      </x:c>
      <x:c r="E393" s="19" t="str">
        <x:v>每配方一次</x:v>
      </x:c>
      <x:c r="F393" s="19" t="str">
        <x:v>CIPValve</x:v>
      </x:c>
      <x:c r="G393" s="19" t="str"/>
      <x:c r="H393" s="19" t="str">
        <x:v>05 00 13 00 00</x:v>
      </x:c>
      <x:c r="I393" s="19" t="str">
        <x:v>Write CIPValve register 0013</x:v>
      </x:c>
      <x:c r="J393" s="19" t="str"/>
      <x:c r="K393" s="19" t="str">
        <x:v>响应回显=05 00 13 00 00</x:v>
      </x:c>
      <x:c r="L393" s="19" t="str"/>
      <x:c r="M393" s="19" t="str">
        <x:v>candidate:layered/L3_group/step_01_system_initialization.group.json</x:v>
      </x:c>
    </x:row>
    <x:row r="394" ht="34.5" customHeight="1">
      <x:c r="A394" s="15" t="str">
        <x:v>grape_small</x:v>
      </x:c>
      <x:c r="B394" s="17" t="n">
        <x:v>1</x:v>
      </x:c>
      <x:c r="C394" s="17" t="n">
        <x:v>9</x:v>
      </x:c>
      <x:c r="D394" s="15" t="str">
        <x:v>legacy</x:v>
      </x:c>
      <x:c r="E394" s="15" t="str">
        <x:v>每配方一次</x:v>
      </x:c>
      <x:c r="F394" s="15" t="str">
        <x:v>CIPValve</x:v>
      </x:c>
      <x:c r="G394" s="15" t="str"/>
      <x:c r="H394" s="15" t="str">
        <x:v>05 00 14 00 00</x:v>
      </x:c>
      <x:c r="I394" s="15" t="str">
        <x:v>Write CIPValve register 0014</x:v>
      </x:c>
      <x:c r="J394" s="15" t="str"/>
      <x:c r="K394" s="15" t="str">
        <x:v>响应回显=05 00 14 00 00</x:v>
      </x:c>
      <x:c r="L394" s="15" t="str"/>
      <x:c r="M394" s="15" t="str">
        <x:v>candidate:layered/L3_group/step_01_system_initialization.group.json</x:v>
      </x:c>
    </x:row>
    <x:row r="395" ht="34.5" customHeight="1">
      <x:c r="A395" s="19" t="str">
        <x:v>grape_small</x:v>
      </x:c>
      <x:c r="B395" s="18" t="n">
        <x:v>1</x:v>
      </x:c>
      <x:c r="C395" s="18" t="n">
        <x:v>10</x:v>
      </x:c>
      <x:c r="D395" s="19" t="str">
        <x:v>legacy</x:v>
      </x:c>
      <x:c r="E395" s="19" t="str">
        <x:v>每配方一次</x:v>
      </x:c>
      <x:c r="F395" s="19" t="str">
        <x:v>Relay</x:v>
      </x:c>
      <x:c r="G395" s="19" t="str"/>
      <x:c r="H395" s="19" t="str">
        <x:v>05 00 08 00 00</x:v>
      </x:c>
      <x:c r="I395" s="19" t="str">
        <x:v>Write Relay register 0008</x:v>
      </x:c>
      <x:c r="J395" s="19" t="str"/>
      <x:c r="K395" s="19" t="str">
        <x:v>响应回显=05 00 08 00 00</x:v>
      </x:c>
      <x:c r="L395" s="19" t="str"/>
      <x:c r="M395" s="19" t="str">
        <x:v>candidate:layered/L3_group/step_01_system_initialization.group.json</x:v>
      </x:c>
    </x:row>
    <x:row r="396" ht="34.5" customHeight="1">
      <x:c r="A396" s="15" t="str">
        <x:v>grape_small</x:v>
      </x:c>
      <x:c r="B396" s="17" t="n">
        <x:v>1</x:v>
      </x:c>
      <x:c r="C396" s="17" t="n">
        <x:v>11</x:v>
      </x:c>
      <x:c r="D396" s="15" t="str">
        <x:v>legacy</x:v>
      </x:c>
      <x:c r="E396" s="15" t="str">
        <x:v>每配方一次</x:v>
      </x:c>
      <x:c r="F396" s="15" t="str">
        <x:v>Relay</x:v>
      </x:c>
      <x:c r="G396" s="15" t="str"/>
      <x:c r="H396" s="15" t="str">
        <x:v>05 00 09 00 00</x:v>
      </x:c>
      <x:c r="I396" s="15" t="str">
        <x:v>Write Relay register 0009</x:v>
      </x:c>
      <x:c r="J396" s="15" t="str"/>
      <x:c r="K396" s="15" t="str">
        <x:v>响应回显=05 00 09 00 00</x:v>
      </x:c>
      <x:c r="L396" s="15" t="str"/>
      <x:c r="M396" s="15" t="str">
        <x:v>candidate:layered/L3_group/step_01_system_initialization.group.json</x:v>
      </x:c>
    </x:row>
    <x:row r="397" ht="34.5" customHeight="1">
      <x:c r="A397" s="19" t="str">
        <x:v>grape_small</x:v>
      </x:c>
      <x:c r="B397" s="18" t="n">
        <x:v>1</x:v>
      </x:c>
      <x:c r="C397" s="18" t="n">
        <x:v>12</x:v>
      </x:c>
      <x:c r="D397" s="19" t="str">
        <x:v>legacy</x:v>
      </x:c>
      <x:c r="E397" s="19" t="str">
        <x:v>每配方一次</x:v>
      </x:c>
      <x:c r="F397" s="19" t="str">
        <x:v>Relay</x:v>
      </x:c>
      <x:c r="G397" s="19" t="str"/>
      <x:c r="H397" s="19" t="str">
        <x:v>05 00 0A 00 00</x:v>
      </x:c>
      <x:c r="I397" s="19" t="str">
        <x:v>Write Relay register 000A</x:v>
      </x:c>
      <x:c r="J397" s="19" t="str"/>
      <x:c r="K397" s="19" t="str">
        <x:v>响应回显=05 00 0A 00 00</x:v>
      </x:c>
      <x:c r="L397" s="19" t="str"/>
      <x:c r="M397" s="19" t="str">
        <x:v>candidate:layered/L3_group/step_01_system_initialization.group.json</x:v>
      </x:c>
    </x:row>
    <x:row r="398" ht="34.5" customHeight="1">
      <x:c r="A398" s="15" t="str">
        <x:v>grape_small</x:v>
      </x:c>
      <x:c r="B398" s="17" t="n">
        <x:v>1</x:v>
      </x:c>
      <x:c r="C398" s="17" t="n">
        <x:v>13</x:v>
      </x:c>
      <x:c r="D398" s="15" t="str">
        <x:v>legacy</x:v>
      </x:c>
      <x:c r="E398" s="15" t="str">
        <x:v>每配方一次</x:v>
      </x:c>
      <x:c r="F398" s="15" t="str">
        <x:v>Relay</x:v>
      </x:c>
      <x:c r="G398" s="15" t="str"/>
      <x:c r="H398" s="15" t="str">
        <x:v>05 00 0B 00 00</x:v>
      </x:c>
      <x:c r="I398" s="15" t="str">
        <x:v>Write Relay register 000B</x:v>
      </x:c>
      <x:c r="J398" s="15" t="str"/>
      <x:c r="K398" s="15" t="str">
        <x:v>响应回显=05 00 0B 00 00</x:v>
      </x:c>
      <x:c r="L398" s="15" t="str"/>
      <x:c r="M398" s="15" t="str">
        <x:v>candidate:layered/L3_group/step_01_system_initialization.group.json</x:v>
      </x:c>
    </x:row>
    <x:row r="399" ht="34.5" customHeight="1">
      <x:c r="A399" s="19" t="str">
        <x:v>grape_small</x:v>
      </x:c>
      <x:c r="B399" s="18" t="n">
        <x:v>1</x:v>
      </x:c>
      <x:c r="C399" s="18" t="n">
        <x:v>14</x:v>
      </x:c>
      <x:c r="D399" s="19" t="str">
        <x:v>legacy</x:v>
      </x:c>
      <x:c r="E399" s="19" t="str">
        <x:v>每配方一次</x:v>
      </x:c>
      <x:c r="F399" s="19" t="str">
        <x:v>Relay</x:v>
      </x:c>
      <x:c r="G399" s="19" t="str"/>
      <x:c r="H399" s="19" t="str">
        <x:v>05 00 0C 00 00</x:v>
      </x:c>
      <x:c r="I399" s="19" t="str">
        <x:v>Write Relay register 000C</x:v>
      </x:c>
      <x:c r="J399" s="19" t="str"/>
      <x:c r="K399" s="19" t="str">
        <x:v>响应回显=05 00 0C 00 00</x:v>
      </x:c>
      <x:c r="L399" s="19" t="str"/>
      <x:c r="M399" s="19" t="str">
        <x:v>candidate:layered/L3_group/step_01_system_initialization.group.json</x:v>
      </x:c>
    </x:row>
    <x:row r="400" ht="34.5" customHeight="1">
      <x:c r="A400" s="15" t="str">
        <x:v>grape_small</x:v>
      </x:c>
      <x:c r="B400" s="17" t="n">
        <x:v>1</x:v>
      </x:c>
      <x:c r="C400" s="17" t="n">
        <x:v>15</x:v>
      </x:c>
      <x:c r="D400" s="15" t="str">
        <x:v>legacy</x:v>
      </x:c>
      <x:c r="E400" s="15" t="str">
        <x:v>每配方一次</x:v>
      </x:c>
      <x:c r="F400" s="15" t="str">
        <x:v>Relay</x:v>
      </x:c>
      <x:c r="G400" s="15" t="str"/>
      <x:c r="H400" s="15" t="str">
        <x:v>05 00 0D 00 00</x:v>
      </x:c>
      <x:c r="I400" s="15" t="str">
        <x:v>Write Relay register 000D</x:v>
      </x:c>
      <x:c r="J400" s="15" t="str"/>
      <x:c r="K400" s="15" t="str">
        <x:v>响应回显=05 00 0D 00 00</x:v>
      </x:c>
      <x:c r="L400" s="15" t="str"/>
      <x:c r="M400" s="15" t="str">
        <x:v>candidate:layered/L3_group/step_01_system_initialization.group.json</x:v>
      </x:c>
    </x:row>
    <x:row r="401" ht="34.5" customHeight="1">
      <x:c r="A401" s="19" t="str">
        <x:v>grape_small</x:v>
      </x:c>
      <x:c r="B401" s="18" t="n">
        <x:v>1</x:v>
      </x:c>
      <x:c r="C401" s="18" t="n">
        <x:v>16</x:v>
      </x:c>
      <x:c r="D401" s="19" t="str">
        <x:v>legacy</x:v>
      </x:c>
      <x:c r="E401" s="19" t="str">
        <x:v>每配方一次</x:v>
      </x:c>
      <x:c r="F401" s="19" t="str">
        <x:v>Relay</x:v>
      </x:c>
      <x:c r="G401" s="19" t="str"/>
      <x:c r="H401" s="19" t="str">
        <x:v>05 00 0E 00 00</x:v>
      </x:c>
      <x:c r="I401" s="19" t="str">
        <x:v>Write Relay register 000E</x:v>
      </x:c>
      <x:c r="J401" s="19" t="str"/>
      <x:c r="K401" s="19" t="str">
        <x:v>响应回显=05 00 0E 00 00</x:v>
      </x:c>
      <x:c r="L401" s="19" t="str"/>
      <x:c r="M401" s="19" t="str">
        <x:v>candidate:layered/L3_group/step_01_system_initialization.group.json</x:v>
      </x:c>
    </x:row>
    <x:row r="402" ht="34.5" customHeight="1">
      <x:c r="A402" s="15" t="str">
        <x:v>grape_small</x:v>
      </x:c>
      <x:c r="B402" s="17" t="n">
        <x:v>1</x:v>
      </x:c>
      <x:c r="C402" s="17" t="n">
        <x:v>17</x:v>
      </x:c>
      <x:c r="D402" s="15" t="str">
        <x:v>trigger</x:v>
      </x:c>
      <x:c r="E402" s="15" t="str">
        <x:v>每配方一次</x:v>
      </x:c>
      <x:c r="F402" s="15" t="str">
        <x:v>X</x:v>
      </x:c>
      <x:c r="G402" s="15" t="str"/>
      <x:c r="H402" s="15" t="str">
        <x:v>FC06 0x6002=16</x:v>
      </x:c>
      <x:c r="I402" s="15" t="str">
        <x:v>触发预设PR0</x:v>
      </x:c>
      <x:c r="J402" s="15" t="str"/>
      <x:c r="K402" s="15" t="str">
        <x:v>写入响应回显</x:v>
      </x:c>
      <x:c r="L402" s="15" t="str"/>
      <x:c r="M402" s="15" t="str">
        <x:v>candidate:layered/L3_group/step_01_system_initialization.group.json</x:v>
      </x:c>
    </x:row>
    <x:row r="403" ht="34.5" customHeight="1">
      <x:c r="A403" s="19" t="str">
        <x:v>grape_small</x:v>
      </x:c>
      <x:c r="B403" s="18" t="n">
        <x:v>1</x:v>
      </x:c>
      <x:c r="C403" s="18" t="n">
        <x:v>18</x:v>
      </x:c>
      <x:c r="D403" s="19" t="str">
        <x:v>trigger</x:v>
      </x:c>
      <x:c r="E403" s="19" t="str">
        <x:v>每配方一次</x:v>
      </x:c>
      <x:c r="F403" s="19" t="str">
        <x:v>Y1</x:v>
      </x:c>
      <x:c r="G403" s="19" t="str"/>
      <x:c r="H403" s="19" t="str">
        <x:v>FC06 0x6002=16</x:v>
      </x:c>
      <x:c r="I403" s="19" t="str">
        <x:v>触发预设PR0</x:v>
      </x:c>
      <x:c r="J403" s="19" t="str"/>
      <x:c r="K403" s="19" t="str">
        <x:v>写入响应回显</x:v>
      </x:c>
      <x:c r="L403" s="19" t="str"/>
      <x:c r="M403" s="19" t="str">
        <x:v>candidate:layered/L3_group/step_01_system_initialization.group.json</x:v>
      </x:c>
    </x:row>
    <x:row r="404" ht="34.5" customHeight="1">
      <x:c r="A404" s="15" t="str">
        <x:v>grape_small</x:v>
      </x:c>
      <x:c r="B404" s="17" t="n">
        <x:v>1</x:v>
      </x:c>
      <x:c r="C404" s="17" t="n">
        <x:v>19</x:v>
      </x:c>
      <x:c r="D404" s="15" t="str">
        <x:v>trigger</x:v>
      </x:c>
      <x:c r="E404" s="15" t="str">
        <x:v>每配方一次</x:v>
      </x:c>
      <x:c r="F404" s="15" t="str">
        <x:v>Y2</x:v>
      </x:c>
      <x:c r="G404" s="15" t="str"/>
      <x:c r="H404" s="15" t="str">
        <x:v>FC06 0x6002=16</x:v>
      </x:c>
      <x:c r="I404" s="15" t="str">
        <x:v>触发预设PR0</x:v>
      </x:c>
      <x:c r="J404" s="15" t="str"/>
      <x:c r="K404" s="15" t="str">
        <x:v>写入响应回显</x:v>
      </x:c>
      <x:c r="L404" s="15" t="str"/>
      <x:c r="M404" s="15" t="str">
        <x:v>candidate:layered/L3_group/step_01_system_initialization.group.json</x:v>
      </x:c>
    </x:row>
    <x:row r="405" ht="34.5" customHeight="1">
      <x:c r="A405" s="19" t="str">
        <x:v>grape_small</x:v>
      </x:c>
      <x:c r="B405" s="18" t="n">
        <x:v>1</x:v>
      </x:c>
      <x:c r="C405" s="18" t="n">
        <x:v>20</x:v>
      </x:c>
      <x:c r="D405" s="19" t="str">
        <x:v>trigger</x:v>
      </x:c>
      <x:c r="E405" s="19" t="str">
        <x:v>每配方一次</x:v>
      </x:c>
      <x:c r="F405" s="19" t="str">
        <x:v>Z</x:v>
      </x:c>
      <x:c r="G405" s="19" t="str"/>
      <x:c r="H405" s="19" t="str">
        <x:v>FC06 0x6002=16</x:v>
      </x:c>
      <x:c r="I405" s="19" t="str">
        <x:v>触发预设PR0</x:v>
      </x:c>
      <x:c r="J405" s="19" t="str"/>
      <x:c r="K405" s="19" t="str">
        <x:v>写入响应回显</x:v>
      </x:c>
      <x:c r="L405" s="19" t="str"/>
      <x:c r="M405" s="19" t="str">
        <x:v>candidate:layered/L3_group/step_01_system_initialization.group.json</x:v>
      </x:c>
    </x:row>
    <x:row r="406" ht="34.5" customHeight="1">
      <x:c r="A406" s="15" t="str">
        <x:v>grape_small</x:v>
      </x:c>
      <x:c r="B406" s="17" t="n">
        <x:v>1</x:v>
      </x:c>
      <x:c r="C406" s="17" t="n">
        <x:v>21</x:v>
      </x:c>
      <x:c r="D406" s="15" t="str">
        <x:v>ready</x:v>
      </x:c>
      <x:c r="E406" s="15" t="str">
        <x:v>每配方一次</x:v>
      </x:c>
      <x:c r="F406" s="15" t="str">
        <x:v>X</x:v>
      </x:c>
      <x:c r="G406" s="15" t="str"/>
      <x:c r="H406" s="15" t="str">
        <x:v>FC04 0x0000</x:v>
      </x:c>
      <x:c r="I406" s="15" t="str">
        <x:v>等待设备完成</x:v>
      </x:c>
      <x:c r="J406" s="15" t="str">
        <x:v>每20ms；截止4000ms</x:v>
      </x:c>
      <x:c r="K406" s="15" t="str">
        <x:v>04 02 00 01</x:v>
      </x:c>
      <x:c r="L406" s="15" t="str">
        <x:v>HOME_TIMEOUT</x:v>
      </x:c>
      <x:c r="M406" s="15" t="str">
        <x:v>candidate:layered/L3_group/step_01_system_initialization.group.json</x:v>
      </x:c>
    </x:row>
    <x:row r="407" ht="34.5" customHeight="1">
      <x:c r="A407" s="19" t="str">
        <x:v>grape_small</x:v>
      </x:c>
      <x:c r="B407" s="18" t="n">
        <x:v>1</x:v>
      </x:c>
      <x:c r="C407" s="18" t="n">
        <x:v>22</x:v>
      </x:c>
      <x:c r="D407" s="19" t="str">
        <x:v>ready</x:v>
      </x:c>
      <x:c r="E407" s="19" t="str">
        <x:v>每配方一次</x:v>
      </x:c>
      <x:c r="F407" s="19" t="str">
        <x:v>Y1</x:v>
      </x:c>
      <x:c r="G407" s="19" t="str"/>
      <x:c r="H407" s="19" t="str">
        <x:v>FC04 0x0000</x:v>
      </x:c>
      <x:c r="I407" s="19" t="str">
        <x:v>等待设备完成</x:v>
      </x:c>
      <x:c r="J407" s="19" t="str">
        <x:v>每20ms；截止4000ms</x:v>
      </x:c>
      <x:c r="K407" s="19" t="str">
        <x:v>04 02 00 01</x:v>
      </x:c>
      <x:c r="L407" s="19" t="str">
        <x:v>HOME_TIMEOUT</x:v>
      </x:c>
      <x:c r="M407" s="19" t="str">
        <x:v>candidate:layered/L3_group/step_01_system_initialization.group.json</x:v>
      </x:c>
    </x:row>
    <x:row r="408" ht="34.5" customHeight="1">
      <x:c r="A408" s="15" t="str">
        <x:v>grape_small</x:v>
      </x:c>
      <x:c r="B408" s="17" t="n">
        <x:v>1</x:v>
      </x:c>
      <x:c r="C408" s="17" t="n">
        <x:v>23</x:v>
      </x:c>
      <x:c r="D408" s="15" t="str">
        <x:v>ready</x:v>
      </x:c>
      <x:c r="E408" s="15" t="str">
        <x:v>每配方一次</x:v>
      </x:c>
      <x:c r="F408" s="15" t="str">
        <x:v>Y2</x:v>
      </x:c>
      <x:c r="G408" s="15" t="str"/>
      <x:c r="H408" s="15" t="str">
        <x:v>FC04 0x0000</x:v>
      </x:c>
      <x:c r="I408" s="15" t="str">
        <x:v>等待设备完成</x:v>
      </x:c>
      <x:c r="J408" s="15" t="str">
        <x:v>每20ms；截止4000ms</x:v>
      </x:c>
      <x:c r="K408" s="15" t="str">
        <x:v>04 02 00 01</x:v>
      </x:c>
      <x:c r="L408" s="15" t="str">
        <x:v>HOME_TIMEOUT</x:v>
      </x:c>
      <x:c r="M408" s="15" t="str">
        <x:v>candidate:layered/L3_group/step_01_system_initialization.group.json</x:v>
      </x:c>
    </x:row>
    <x:row r="409" ht="34.5" customHeight="1">
      <x:c r="A409" s="19" t="str">
        <x:v>grape_small</x:v>
      </x:c>
      <x:c r="B409" s="18" t="n">
        <x:v>1</x:v>
      </x:c>
      <x:c r="C409" s="18" t="n">
        <x:v>24</x:v>
      </x:c>
      <x:c r="D409" s="19" t="str">
        <x:v>ready</x:v>
      </x:c>
      <x:c r="E409" s="19" t="str">
        <x:v>每配方一次</x:v>
      </x:c>
      <x:c r="F409" s="19" t="str">
        <x:v>Z</x:v>
      </x:c>
      <x:c r="G409" s="19" t="str"/>
      <x:c r="H409" s="19" t="str">
        <x:v>FC04 0x0000</x:v>
      </x:c>
      <x:c r="I409" s="19" t="str">
        <x:v>等待设备完成</x:v>
      </x:c>
      <x:c r="J409" s="19" t="str">
        <x:v>每20ms；截止4000ms</x:v>
      </x:c>
      <x:c r="K409" s="19" t="str">
        <x:v>04 02 00 01</x:v>
      </x:c>
      <x:c r="L409" s="19" t="str">
        <x:v>HOME_TIMEOUT</x:v>
      </x:c>
      <x:c r="M409" s="19" t="str">
        <x:v>candidate:layered/L3_group/step_01_system_initialization.group.json</x:v>
      </x:c>
    </x:row>
    <x:row r="410" ht="34.5" customHeight="1">
      <x:c r="A410" s="15" t="str">
        <x:v>grape_small</x:v>
      </x:c>
      <x:c r="B410" s="17" t="n">
        <x:v>1</x:v>
      </x:c>
      <x:c r="C410" s="17" t="n">
        <x:v>25</x:v>
      </x:c>
      <x:c r="D410" s="15" t="str">
        <x:v>legacy</x:v>
      </x:c>
      <x:c r="E410" s="15" t="str">
        <x:v>每配方一次</x:v>
      </x:c>
      <x:c r="F410" s="15" t="str"/>
      <x:c r="G410" s="15" t="str"/>
      <x:c r="H410" s="15" t="str">
        <x:v>last_x_pr</x:v>
      </x:c>
      <x:c r="I410" s="15" t="str">
        <x:v>设置变量=0</x:v>
      </x:c>
      <x:c r="J410" s="15" t="str"/>
      <x:c r="K410" s="15" t="str"/>
      <x:c r="L410" s="15" t="str"/>
      <x:c r="M410" s="15" t="str">
        <x:v>candidate:layered/L3_group/step_01_system_initialization.group.json</x:v>
      </x:c>
    </x:row>
    <x:row r="411" ht="34.5" customHeight="1">
      <x:c r="A411" s="19" t="str">
        <x:v>grape_small</x:v>
      </x:c>
      <x:c r="B411" s="18" t="n">
        <x:v>1</x:v>
      </x:c>
      <x:c r="C411" s="18" t="n">
        <x:v>26</x:v>
      </x:c>
      <x:c r="D411" s="19" t="str">
        <x:v>legacy</x:v>
      </x:c>
      <x:c r="E411" s="19" t="str">
        <x:v>每配方一次</x:v>
      </x:c>
      <x:c r="F411" s="19" t="str"/>
      <x:c r="G411" s="19" t="str"/>
      <x:c r="H411" s="19" t="str">
        <x:v>last_y_pr</x:v>
      </x:c>
      <x:c r="I411" s="19" t="str">
        <x:v>设置变量=0</x:v>
      </x:c>
      <x:c r="J411" s="19" t="str"/>
      <x:c r="K411" s="19" t="str"/>
      <x:c r="L411" s="19" t="str"/>
      <x:c r="M411" s="19" t="str">
        <x:v>candidate:layered/L3_group/step_01_system_initialization.group.json</x:v>
      </x:c>
    </x:row>
    <x:row r="412" ht="34.5" customHeight="1">
      <x:c r="A412" s="15" t="str">
        <x:v>grape_small</x:v>
      </x:c>
      <x:c r="B412" s="17" t="n">
        <x:v>1</x:v>
      </x:c>
      <x:c r="C412" s="17" t="n">
        <x:v>27</x:v>
      </x:c>
      <x:c r="D412" s="15" t="str">
        <x:v>legacy</x:v>
      </x:c>
      <x:c r="E412" s="15" t="str">
        <x:v>每配方一次</x:v>
      </x:c>
      <x:c r="F412" s="15" t="str"/>
      <x:c r="G412" s="15" t="str"/>
      <x:c r="H412" s="15" t="str">
        <x:v>last_z_pr</x:v>
      </x:c>
      <x:c r="I412" s="15" t="str">
        <x:v>设置变量=0</x:v>
      </x:c>
      <x:c r="J412" s="15" t="str"/>
      <x:c r="K412" s="15" t="str"/>
      <x:c r="L412" s="15" t="str"/>
      <x:c r="M412" s="15" t="str">
        <x:v>candidate:layered/L3_group/step_01_system_initialization.group.json</x:v>
      </x:c>
    </x:row>
    <x:row r="413" ht="34.5" customHeight="1">
      <x:c r="A413" s="19" t="str">
        <x:v>grape_small</x:v>
      </x:c>
      <x:c r="B413" s="18" t="n">
        <x:v>1</x:v>
      </x:c>
      <x:c r="C413" s="18" t="n">
        <x:v>28</x:v>
      </x:c>
      <x:c r="D413" s="19" t="str">
        <x:v>refresh</x:v>
      </x:c>
      <x:c r="E413" s="19" t="str">
        <x:v>每配方一次</x:v>
      </x:c>
      <x:c r="F413" s="19" t="str">
        <x:v>X / Y1 / Y2 / Z</x:v>
      </x:c>
      <x:c r="G413" s="19" t="str"/>
      <x:c r="H413" s="19" t="str">
        <x:v>FC03 0x602C, 2 registers</x:v>
      </x:c>
      <x:c r="I413" s="19" t="str">
        <x:v>缓存四电机坐标；更新centerX/centerY/centerZ（centerY=Y1）</x:v>
      </x:c>
      <x:c r="J413" s="19" t="str"/>
      <x:c r="K413" s="19" t="str"/>
      <x:c r="L413" s="19" t="str"/>
      <x:c r="M413" s="19" t="str">
        <x:v>candidate:layered/L3_group/step_01_system_initialization.group.json</x:v>
      </x:c>
    </x:row>
    <x:row r="414" ht="34.5" customHeight="1">
      <x:c r="A414" s="15" t="str">
        <x:v>grape_small</x:v>
      </x:c>
      <x:c r="B414" s="17" t="n">
        <x:v>1</x:v>
      </x:c>
      <x:c r="C414" s="17" t="n">
        <x:v>29</x:v>
      </x:c>
      <x:c r="D414" s="15" t="str">
        <x:v>legacy</x:v>
      </x:c>
      <x:c r="E414" s="15" t="str">
        <x:v>每配方一次</x:v>
      </x:c>
      <x:c r="F414" s="15" t="str">
        <x:v>X</x:v>
      </x:c>
      <x:c r="G414" s="15" t="str"/>
      <x:c r="H414" s="15" t="str">
        <x:v>03 22 03 00 01；解码={"valueStartByte":2,"valueLength":2,"valueEndian":"big","valueType":"int"}</x:v>
      </x:c>
      <x:c r="I414" s="15" t="str">
        <x:v>X alarm self-check</x:v>
      </x:c>
      <x:c r="J414" s="15" t="str"/>
      <x:c r="K414" s="15" t="str">
        <x:v>equal 0</x:v>
      </x:c>
      <x:c r="L414" s="15" t="str">
        <x:v>X_ALARM</x:v>
      </x:c>
      <x:c r="M414" s="15" t="str">
        <x:v>candidate:layered/L3_group/step_01_system_initialization.group.json</x:v>
      </x:c>
    </x:row>
    <x:row r="415" ht="34.5" customHeight="1">
      <x:c r="A415" s="19" t="str">
        <x:v>grape_small</x:v>
      </x:c>
      <x:c r="B415" s="18" t="n">
        <x:v>1</x:v>
      </x:c>
      <x:c r="C415" s="18" t="n">
        <x:v>30</x:v>
      </x:c>
      <x:c r="D415" s="19" t="str">
        <x:v>legacy</x:v>
      </x:c>
      <x:c r="E415" s="19" t="str">
        <x:v>每配方一次</x:v>
      </x:c>
      <x:c r="F415" s="19" t="str">
        <x:v>Y1</x:v>
      </x:c>
      <x:c r="G415" s="19" t="str"/>
      <x:c r="H415" s="19" t="str">
        <x:v>03 22 03 00 01；解码={"valueStartByte":2,"valueLength":2,"valueEndian":"big","valueType":"int"}</x:v>
      </x:c>
      <x:c r="I415" s="19" t="str">
        <x:v>Y1: Y alarm self-check</x:v>
      </x:c>
      <x:c r="J415" s="19" t="str"/>
      <x:c r="K415" s="19" t="str">
        <x:v>equal 0</x:v>
      </x:c>
      <x:c r="L415" s="19" t="str">
        <x:v>Y_ALARM</x:v>
      </x:c>
      <x:c r="M415" s="19" t="str">
        <x:v>candidate:layered/L3_group/step_01_system_initialization.group.json</x:v>
      </x:c>
    </x:row>
    <x:row r="416" ht="34.5" customHeight="1">
      <x:c r="A416" s="15" t="str">
        <x:v>grape_small</x:v>
      </x:c>
      <x:c r="B416" s="17" t="n">
        <x:v>1</x:v>
      </x:c>
      <x:c r="C416" s="17" t="n">
        <x:v>31</x:v>
      </x:c>
      <x:c r="D416" s="15" t="str">
        <x:v>legacy</x:v>
      </x:c>
      <x:c r="E416" s="15" t="str">
        <x:v>每配方一次</x:v>
      </x:c>
      <x:c r="F416" s="15" t="str">
        <x:v>Y2</x:v>
      </x:c>
      <x:c r="G416" s="15" t="str"/>
      <x:c r="H416" s="15" t="str">
        <x:v>03 22 03 00 01；解码={"valueStartByte":2,"valueLength":2,"valueEndian":"big","valueType":"int"}</x:v>
      </x:c>
      <x:c r="I416" s="15" t="str">
        <x:v>Y2: Y alarm self-check</x:v>
      </x:c>
      <x:c r="J416" s="15" t="str"/>
      <x:c r="K416" s="15" t="str">
        <x:v>equal 0</x:v>
      </x:c>
      <x:c r="L416" s="15" t="str">
        <x:v>Y_ALARM_Y2</x:v>
      </x:c>
      <x:c r="M416" s="15" t="str">
        <x:v>candidate:layered/L3_group/step_01_system_initialization.group.json</x:v>
      </x:c>
    </x:row>
    <x:row r="417" ht="34.5" customHeight="1">
      <x:c r="A417" s="19" t="str">
        <x:v>grape_small</x:v>
      </x:c>
      <x:c r="B417" s="18" t="n">
        <x:v>1</x:v>
      </x:c>
      <x:c r="C417" s="18" t="n">
        <x:v>32</x:v>
      </x:c>
      <x:c r="D417" s="19" t="str">
        <x:v>legacy</x:v>
      </x:c>
      <x:c r="E417" s="19" t="str">
        <x:v>每配方一次</x:v>
      </x:c>
      <x:c r="F417" s="19" t="str">
        <x:v>Z</x:v>
      </x:c>
      <x:c r="G417" s="19" t="str"/>
      <x:c r="H417" s="19" t="str">
        <x:v>03 22 03 00 01；解码={"valueStartByte":2,"valueLength":2,"valueEndian":"big","valueType":"int"}</x:v>
      </x:c>
      <x:c r="I417" s="19" t="str">
        <x:v>Z alarm self-check</x:v>
      </x:c>
      <x:c r="J417" s="19" t="str"/>
      <x:c r="K417" s="19" t="str">
        <x:v>equal 0</x:v>
      </x:c>
      <x:c r="L417" s="19" t="str">
        <x:v>Z_ALARM</x:v>
      </x:c>
      <x:c r="M417" s="19" t="str">
        <x:v>candidate:layered/L3_group/step_01_system_initialization.group.json</x:v>
      </x:c>
    </x:row>
    <x:row r="418" ht="34.5" customHeight="1">
      <x:c r="A418" s="15" t="str">
        <x:v>grape_small</x:v>
      </x:c>
      <x:c r="B418" s="17" t="n">
        <x:v>1</x:v>
      </x:c>
      <x:c r="C418" s="17" t="n">
        <x:v>33</x:v>
      </x:c>
      <x:c r="D418" s="15" t="str">
        <x:v>legacy</x:v>
      </x:c>
      <x:c r="E418" s="15" t="str">
        <x:v>每配方一次</x:v>
      </x:c>
      <x:c r="F418" s="15" t="str">
        <x:v>X</x:v>
      </x:c>
      <x:c r="G418" s="15" t="str"/>
      <x:c r="H418" s="15" t="str">
        <x:v>03 10 03 00 01；解码={"cacheStartByte":2,"cacheLength":2,"cacheEndian":"big","valueType":"int"}</x:v>
      </x:c>
      <x:c r="I418" s="15" t="str">
        <x:v>缓存xStatus</x:v>
      </x:c>
      <x:c r="J418" s="15" t="str"/>
      <x:c r="K418" s="15" t="str"/>
      <x:c r="L418" s="15" t="str"/>
      <x:c r="M418" s="15" t="str">
        <x:v>candidate:layered/L3_group/step_01_system_initialization.group.json</x:v>
      </x:c>
    </x:row>
    <x:row r="419" ht="34.5" customHeight="1">
      <x:c r="A419" s="19" t="str">
        <x:v>grape_small</x:v>
      </x:c>
      <x:c r="B419" s="18" t="n">
        <x:v>1</x:v>
      </x:c>
      <x:c r="C419" s="18" t="n">
        <x:v>34</x:v>
      </x:c>
      <x:c r="D419" s="19" t="str">
        <x:v>legacy</x:v>
      </x:c>
      <x:c r="E419" s="19" t="str">
        <x:v>每配方一次</x:v>
      </x:c>
      <x:c r="F419" s="19" t="str">
        <x:v>Y1</x:v>
      </x:c>
      <x:c r="G419" s="19" t="str"/>
      <x:c r="H419" s="19" t="str">
        <x:v>03 10 03 00 01；解码={"cacheStartByte":2,"cacheLength":2,"cacheEndian":"big","valueType":"int"}</x:v>
      </x:c>
      <x:c r="I419" s="19" t="str">
        <x:v>缓存yStatus</x:v>
      </x:c>
      <x:c r="J419" s="19" t="str"/>
      <x:c r="K419" s="19" t="str"/>
      <x:c r="L419" s="19" t="str"/>
      <x:c r="M419" s="19" t="str">
        <x:v>candidate:layered/L3_group/step_01_system_initialization.group.json</x:v>
      </x:c>
    </x:row>
    <x:row r="420" ht="34.5" customHeight="1">
      <x:c r="A420" s="15" t="str">
        <x:v>grape_small</x:v>
      </x:c>
      <x:c r="B420" s="17" t="n">
        <x:v>1</x:v>
      </x:c>
      <x:c r="C420" s="17" t="n">
        <x:v>35</x:v>
      </x:c>
      <x:c r="D420" s="15" t="str">
        <x:v>legacy</x:v>
      </x:c>
      <x:c r="E420" s="15" t="str">
        <x:v>每配方一次</x:v>
      </x:c>
      <x:c r="F420" s="15" t="str">
        <x:v>Y2</x:v>
      </x:c>
      <x:c r="G420" s="15" t="str"/>
      <x:c r="H420" s="15" t="str">
        <x:v>03 10 03 00 01；解码={"cacheStartByte":2,"cacheLength":2,"cacheEndian":"big","valueType":"int"}</x:v>
      </x:c>
      <x:c r="I420" s="15" t="str">
        <x:v>缓存yStatus_Y2</x:v>
      </x:c>
      <x:c r="J420" s="15" t="str"/>
      <x:c r="K420" s="15" t="str"/>
      <x:c r="L420" s="15" t="str"/>
      <x:c r="M420" s="15" t="str">
        <x:v>candidate:layered/L3_group/step_01_system_initialization.group.json</x:v>
      </x:c>
    </x:row>
    <x:row r="421" ht="34.5" customHeight="1">
      <x:c r="A421" s="19" t="str">
        <x:v>grape_small</x:v>
      </x:c>
      <x:c r="B421" s="18" t="n">
        <x:v>1</x:v>
      </x:c>
      <x:c r="C421" s="18" t="n">
        <x:v>36</x:v>
      </x:c>
      <x:c r="D421" s="19" t="str">
        <x:v>legacy</x:v>
      </x:c>
      <x:c r="E421" s="19" t="str">
        <x:v>每配方一次</x:v>
      </x:c>
      <x:c r="F421" s="19" t="str">
        <x:v>Z</x:v>
      </x:c>
      <x:c r="G421" s="19" t="str"/>
      <x:c r="H421" s="19" t="str">
        <x:v>03 10 03 00 01；解码={"cacheStartByte":2,"cacheLength":2,"cacheEndian":"big","valueType":"int"}</x:v>
      </x:c>
      <x:c r="I421" s="19" t="str">
        <x:v>缓存zStatus</x:v>
      </x:c>
      <x:c r="J421" s="19" t="str"/>
      <x:c r="K421" s="19" t="str"/>
      <x:c r="L421" s="19" t="str"/>
      <x:c r="M421" s="19" t="str">
        <x:v>candidate:layered/L3_group/step_01_system_initialization.group.json</x:v>
      </x:c>
    </x:row>
    <x:row r="422" ht="34.5" customHeight="1">
      <x:c r="A422" s="15" t="str">
        <x:v>grape_small</x:v>
      </x:c>
      <x:c r="B422" s="17" t="n">
        <x:v>1</x:v>
      </x:c>
      <x:c r="C422" s="17" t="n">
        <x:v>37</x:v>
      </x:c>
      <x:c r="D422" s="15" t="str">
        <x:v>legacy</x:v>
      </x:c>
      <x:c r="E422" s="15" t="str">
        <x:v>每配方一次</x:v>
      </x:c>
      <x:c r="F422" s="15" t="str"/>
      <x:c r="G422" s="15" t="str"/>
      <x:c r="H422" s="15" t="str"/>
      <x:c r="I422" s="15" t="str">
        <x:v>显式等待(ms)</x:v>
      </x:c>
      <x:c r="J422" s="15" t="n">
        <x:v>1000</x:v>
      </x:c>
      <x:c r="K422" s="15" t="str"/>
      <x:c r="L422" s="15" t="str"/>
      <x:c r="M422" s="15" t="str">
        <x:v>candidate:layered/L3_group/step_01_system_initialization.group.json</x:v>
      </x:c>
    </x:row>
    <x:row r="423" ht="34.5" customHeight="1">
      <x:c r="A423" s="19" t="str">
        <x:v>grape_small</x:v>
      </x:c>
      <x:c r="B423" s="18" t="n">
        <x:v>2</x:v>
      </x:c>
      <x:c r="C423" s="18" t="n">
        <x:v>1</x:v>
      </x:c>
      <x:c r="D423" s="19" t="str">
        <x:v>legacy</x:v>
      </x:c>
      <x:c r="E423" s="19" t="str">
        <x:v>每瓶一次；每配方12次</x:v>
      </x:c>
      <x:c r="F423" s="19" t="str"/>
      <x:c r="G423" s="19" t="str"/>
      <x:c r="H423" s="19" t="str">
        <x:v>stage</x:v>
      </x:c>
      <x:c r="I423" s="19" t="str">
        <x:v>更新UI=02</x:v>
      </x:c>
      <x:c r="J423" s="19" t="str"/>
      <x:c r="K423" s="19" t="str"/>
      <x:c r="L423" s="19" t="str"/>
      <x:c r="M423" s="19" t="str">
        <x:v>candidate:layered/L3_group/step_02_empty_bottle_feeding.group.json</x:v>
      </x:c>
    </x:row>
    <x:row r="424" ht="34.5" customHeight="1">
      <x:c r="A424" s="15" t="str">
        <x:v>grape_small</x:v>
      </x:c>
      <x:c r="B424" s="17" t="n">
        <x:v>2</x:v>
      </x:c>
      <x:c r="C424" s="17" t="n">
        <x:v>2</x:v>
      </x:c>
      <x:c r="D424" s="15" t="str">
        <x:v>legacy</x:v>
      </x:c>
      <x:c r="E424" s="15" t="str">
        <x:v>每瓶一次；每配方12次</x:v>
      </x:c>
      <x:c r="F424" s="15" t="str">
        <x:v>Relay</x:v>
      </x:c>
      <x:c r="G424" s="15" t="str"/>
      <x:c r="H424" s="15" t="str">
        <x:v>05 00 08 FF 00</x:v>
      </x:c>
      <x:c r="I424" s="15" t="str">
        <x:v>Write Relay register 0008</x:v>
      </x:c>
      <x:c r="J424" s="15" t="str"/>
      <x:c r="K424" s="15" t="str">
        <x:v>响应回显=05 00 08 FF 00</x:v>
      </x:c>
      <x:c r="L424" s="15" t="str"/>
      <x:c r="M424" s="15" t="str">
        <x:v>candidate:layered/L3_group/step_02_empty_bottle_feeding.group.json</x:v>
      </x:c>
    </x:row>
    <x:row r="425" ht="34.5" customHeight="1">
      <x:c r="A425" s="19" t="str">
        <x:v>grape_small</x:v>
      </x:c>
      <x:c r="B425" s="18" t="n">
        <x:v>2</x:v>
      </x:c>
      <x:c r="C425" s="18" t="n">
        <x:v>3</x:v>
      </x:c>
      <x:c r="D425" s="19" t="str">
        <x:v>trigger</x:v>
      </x:c>
      <x:c r="E425" s="19" t="str">
        <x:v>每瓶一次；每配方12次</x:v>
      </x:c>
      <x:c r="F425" s="19" t="str">
        <x:v>Infeed</x:v>
      </x:c>
      <x:c r="G425" s="19" t="str"/>
      <x:c r="H425" s="19" t="str">
        <x:v>FC06 0x6002=19</x:v>
      </x:c>
      <x:c r="I425" s="19" t="str">
        <x:v>触发预设PR3</x:v>
      </x:c>
      <x:c r="J425" s="19" t="str"/>
      <x:c r="K425" s="19" t="str">
        <x:v>写入响应回显</x:v>
      </x:c>
      <x:c r="L425" s="19" t="str"/>
      <x:c r="M425" s="19" t="str">
        <x:v>candidate:layered/L3_group/step_02_empty_bottle_feeding.group.json</x:v>
      </x:c>
    </x:row>
    <x:row r="426" ht="34.5" customHeight="1">
      <x:c r="A426" s="15" t="str">
        <x:v>grape_small</x:v>
      </x:c>
      <x:c r="B426" s="17" t="n">
        <x:v>2</x:v>
      </x:c>
      <x:c r="C426" s="17" t="n">
        <x:v>4</x:v>
      </x:c>
      <x:c r="D426" s="15" t="str">
        <x:v>ready</x:v>
      </x:c>
      <x:c r="E426" s="15" t="str">
        <x:v>每瓶一次；每配方12次</x:v>
      </x:c>
      <x:c r="F426" s="15" t="str">
        <x:v>Infeed</x:v>
      </x:c>
      <x:c r="G426" s="15" t="str"/>
      <x:c r="H426" s="15" t="str">
        <x:v>FC04 0x0000</x:v>
      </x:c>
      <x:c r="I426" s="15" t="str">
        <x:v>等待设备完成</x:v>
      </x:c>
      <x:c r="J426" s="15" t="str">
        <x:v>每20ms；截止4000ms</x:v>
      </x:c>
      <x:c r="K426" s="15" t="str">
        <x:v>04 02 00 01</x:v>
      </x:c>
      <x:c r="L426" s="15" t="str">
        <x:v>EMPTY_FEED_TIMEOUT</x:v>
      </x:c>
      <x:c r="M426" s="15" t="str">
        <x:v>candidate:layered/L3_group/step_02_empty_bottle_feeding.group.json</x:v>
      </x:c>
    </x:row>
    <x:row r="427" ht="34.5" customHeight="1">
      <x:c r="A427" s="19" t="str">
        <x:v>grape_small</x:v>
      </x:c>
      <x:c r="B427" s="18" t="n">
        <x:v>2</x:v>
      </x:c>
      <x:c r="C427" s="18" t="n">
        <x:v>5</x:v>
      </x:c>
      <x:c r="D427" s="19" t="str">
        <x:v>legacy</x:v>
      </x:c>
      <x:c r="E427" s="19" t="str">
        <x:v>每瓶一次；每配方12次</x:v>
      </x:c>
      <x:c r="F427" s="19" t="str">
        <x:v>BottleSensor</x:v>
      </x:c>
      <x:c r="G427" s="19" t="str"/>
      <x:c r="H427" s="19" t="str">
        <x:v>04 00 34 00 01</x:v>
      </x:c>
      <x:c r="I427" s="19" t="str">
        <x:v>Check bottle sensor and wait (5s)</x:v>
      </x:c>
      <x:c r="J427" s="19" t="str">
        <x:v>每100ms；截止5000ms</x:v>
      </x:c>
      <x:c r="K427" s="19" t="str">
        <x:v>04 02 00 01</x:v>
      </x:c>
      <x:c r="L427" s="19" t="str">
        <x:v>BOTTLE_SENSOR_TIMEOUT</x:v>
      </x:c>
      <x:c r="M427" s="19" t="str">
        <x:v>candidate:layered/L3_group/step_02_empty_bottle_feeding.group.json</x:v>
      </x:c>
    </x:row>
    <x:row r="428" ht="34.5" customHeight="1">
      <x:c r="A428" s="15" t="str">
        <x:v>grape_small</x:v>
      </x:c>
      <x:c r="B428" s="17" t="n">
        <x:v>2</x:v>
      </x:c>
      <x:c r="C428" s="17" t="n">
        <x:v>6</x:v>
      </x:c>
      <x:c r="D428" s="15" t="str">
        <x:v>legacy</x:v>
      </x:c>
      <x:c r="E428" s="15" t="str">
        <x:v>每瓶一次；每配方12次</x:v>
      </x:c>
      <x:c r="F428" s="15" t="str">
        <x:v>Relay</x:v>
      </x:c>
      <x:c r="G428" s="15" t="str"/>
      <x:c r="H428" s="15" t="str">
        <x:v>05 00 08 00 00</x:v>
      </x:c>
      <x:c r="I428" s="15" t="str">
        <x:v>Write Relay register 0008</x:v>
      </x:c>
      <x:c r="J428" s="15" t="str"/>
      <x:c r="K428" s="15" t="str">
        <x:v>响应回显=05 00 08 00 00</x:v>
      </x:c>
      <x:c r="L428" s="15" t="str"/>
      <x:c r="M428" s="15" t="str">
        <x:v>candidate:layered/L3_group/step_02_empty_bottle_feeding.group.json</x:v>
      </x:c>
    </x:row>
    <x:row r="429" ht="34.5" customHeight="1">
      <x:c r="A429" s="19" t="str">
        <x:v>grape_small</x:v>
      </x:c>
      <x:c r="B429" s="18" t="n">
        <x:v>2</x:v>
      </x:c>
      <x:c r="C429" s="18" t="n">
        <x:v>7</x:v>
      </x:c>
      <x:c r="D429" s="19" t="str">
        <x:v>move</x:v>
      </x:c>
      <x:c r="E429" s="19" t="str">
        <x:v>每瓶一次；每配方12次</x:v>
      </x:c>
      <x:c r="F429" s="19" t="str">
        <x:v>X / Y1 / Y2 / Z</x:v>
      </x:c>
      <x:c r="G429" s="19" t="n">
        <x:v>33</x:v>
      </x:c>
      <x:c r="H429" s="19" t="str">
        <x:v>empty_entry</x:v>
      </x:c>
      <x:c r="I429" s="19" t="str">
        <x:v>移动至 small empty entry；PR=(3,3,3,1)；仅变化轴触发</x:v>
      </x:c>
      <x:c r="J429" s="19" t="str">
        <x:v>四电机各20ms轮询/4000ms截止</x:v>
      </x:c>
      <x:c r="K429" s="19" t="str">
        <x:v>全部就绪；缓存四位置；UI使用X/Y1/Z</x:v>
      </x:c>
      <x:c r="L429" s="19" t="str">
        <x:v>MOTION_TIMEOUT</x:v>
      </x:c>
      <x:c r="M429" s="19" t="str">
        <x:v>candidate:layered/L3_group/step_02_empty_bottle_feeding.group.json</x:v>
      </x:c>
    </x:row>
    <x:row r="430" ht="34.5" customHeight="1">
      <x:c r="A430" s="15" t="str">
        <x:v>grape_small</x:v>
      </x:c>
      <x:c r="B430" s="17" t="n">
        <x:v>2</x:v>
      </x:c>
      <x:c r="C430" s="17" t="n">
        <x:v>8</x:v>
      </x:c>
      <x:c r="D430" s="15" t="str">
        <x:v>move</x:v>
      </x:c>
      <x:c r="E430" s="15" t="str">
        <x:v>每瓶一次；每配方12次</x:v>
      </x:c>
      <x:c r="F430" s="15" t="str">
        <x:v>X / Y1 / Y2 / Z</x:v>
      </x:c>
      <x:c r="G430" s="15" t="n">
        <x:v>34</x:v>
      </x:c>
      <x:c r="H430" s="15" t="str">
        <x:v>empty_work</x:v>
      </x:c>
      <x:c r="I430" s="15" t="str">
        <x:v>移动至 small empty work；PR=(3,3,3,4)；仅变化轴触发</x:v>
      </x:c>
      <x:c r="J430" s="15" t="str">
        <x:v>四电机各20ms轮询/4000ms截止</x:v>
      </x:c>
      <x:c r="K430" s="15" t="str">
        <x:v>全部就绪；缓存四位置；UI使用X/Y1/Z</x:v>
      </x:c>
      <x:c r="L430" s="15" t="str">
        <x:v>MOTION_TIMEOUT</x:v>
      </x:c>
      <x:c r="M430" s="15" t="str">
        <x:v>candidate:layered/L3_group/step_02_empty_bottle_feeding.group.json</x:v>
      </x:c>
    </x:row>
    <x:row r="431" ht="34.5" customHeight="1">
      <x:c r="A431" s="19" t="str">
        <x:v>grape_small</x:v>
      </x:c>
      <x:c r="B431" s="18" t="n">
        <x:v>2</x:v>
      </x:c>
      <x:c r="C431" s="18" t="n">
        <x:v>9</x:v>
      </x:c>
      <x:c r="D431" s="19" t="str">
        <x:v>coil</x:v>
      </x:c>
      <x:c r="E431" s="19" t="str">
        <x:v>每瓶一次；每配方12次</x:v>
      </x:c>
      <x:c r="F431" s="19" t="str">
        <x:v>Gripper</x:v>
      </x:c>
      <x:c r="G431" s="19" t="str"/>
      <x:c r="H431" s="19" t="str">
        <x:v>FC05 0x0000</x:v>
      </x:c>
      <x:c r="I431" s="19" t="str">
        <x:v>开启</x:v>
      </x:c>
      <x:c r="J431" s="19" t="str"/>
      <x:c r="K431" s="19" t="str">
        <x:v>写入响应回显</x:v>
      </x:c>
      <x:c r="L431" s="19" t="str"/>
      <x:c r="M431" s="19" t="str">
        <x:v>candidate:layered/L3_group/step_02_empty_bottle_feeding.group.json</x:v>
      </x:c>
    </x:row>
    <x:row r="432" ht="34.5" customHeight="1">
      <x:c r="A432" s="15" t="str">
        <x:v>grape_small</x:v>
      </x:c>
      <x:c r="B432" s="17" t="n">
        <x:v>2</x:v>
      </x:c>
      <x:c r="C432" s="17" t="n">
        <x:v>10</x:v>
      </x:c>
      <x:c r="D432" s="15" t="str">
        <x:v>legacy</x:v>
      </x:c>
      <x:c r="E432" s="15" t="str">
        <x:v>每瓶一次；每配方12次</x:v>
      </x:c>
      <x:c r="F432" s="15" t="str">
        <x:v>BottleSensor</x:v>
      </x:c>
      <x:c r="G432" s="15" t="str"/>
      <x:c r="H432" s="15" t="str">
        <x:v>04 00 41 00 01</x:v>
      </x:c>
      <x:c r="I432" s="15" t="str">
        <x:v>Check pick sensor</x:v>
      </x:c>
      <x:c r="J432" s="15" t="str">
        <x:v>每50ms；截止3000ms</x:v>
      </x:c>
      <x:c r="K432" s="15" t="str">
        <x:v>04 02 00 01</x:v>
      </x:c>
      <x:c r="L432" s="15" t="str">
        <x:v>PICK_TIMEOUT</x:v>
      </x:c>
      <x:c r="M432" s="15" t="str">
        <x:v>candidate:layered/L3_group/step_02_empty_bottle_feeding.group.json</x:v>
      </x:c>
    </x:row>
    <x:row r="433" ht="34.5" customHeight="1">
      <x:c r="A433" s="19" t="str">
        <x:v>grape_small</x:v>
      </x:c>
      <x:c r="B433" s="18" t="n">
        <x:v>3</x:v>
      </x:c>
      <x:c r="C433" s="18" t="n">
        <x:v>1</x:v>
      </x:c>
      <x:c r="D433" s="19" t="str">
        <x:v>legacy</x:v>
      </x:c>
      <x:c r="E433" s="19" t="str">
        <x:v>每瓶一次；每配方12次</x:v>
      </x:c>
      <x:c r="F433" s="19" t="str"/>
      <x:c r="G433" s="19" t="str"/>
      <x:c r="H433" s="19" t="str">
        <x:v>stage</x:v>
      </x:c>
      <x:c r="I433" s="19" t="str">
        <x:v>更新UI=03</x:v>
      </x:c>
      <x:c r="J433" s="19" t="str"/>
      <x:c r="K433" s="19" t="str"/>
      <x:c r="L433" s="19" t="str"/>
      <x:c r="M433" s="19" t="str">
        <x:v>candidate:layered/L3_group/step_03_bottle_position_detection.group.json</x:v>
      </x:c>
    </x:row>
    <x:row r="434" ht="34.5" customHeight="1">
      <x:c r="A434" s="15" t="str">
        <x:v>grape_small</x:v>
      </x:c>
      <x:c r="B434" s="17" t="n">
        <x:v>3</x:v>
      </x:c>
      <x:c r="C434" s="17" t="n">
        <x:v>2</x:v>
      </x:c>
      <x:c r="D434" s="15" t="str">
        <x:v>present</x:v>
      </x:c>
      <x:c r="E434" s="15" t="str">
        <x:v>每瓶一次；每配方12次</x:v>
      </x:c>
      <x:c r="F434" s="15" t="str">
        <x:v>ContainerSensor</x:v>
      </x:c>
      <x:c r="G434" s="15" t="str"/>
      <x:c r="H434" s="15" t="str">
        <x:v>FC04 0x0001</x:v>
      </x:c>
      <x:c r="I434" s="15" t="str">
        <x:v>确认夹持容器</x:v>
      </x:c>
      <x:c r="J434" s="15" t="str">
        <x:v>每20ms；截止2000ms</x:v>
      </x:c>
      <x:c r="K434" s="15" t="str">
        <x:v>04 02 00 01</x:v>
      </x:c>
      <x:c r="L434" s="15" t="str">
        <x:v>NO_CONTAINER</x:v>
      </x:c>
      <x:c r="M434" s="15" t="str">
        <x:v>candidate:layered/L3_group/step_03_bottle_position_detection.group.json</x:v>
      </x:c>
    </x:row>
    <x:row r="435" ht="34.5" customHeight="1">
      <x:c r="A435" s="19" t="str">
        <x:v>grape_small</x:v>
      </x:c>
      <x:c r="B435" s="18" t="n">
        <x:v>3</x:v>
      </x:c>
      <x:c r="C435" s="18" t="n">
        <x:v>3</x:v>
      </x:c>
      <x:c r="D435" s="19" t="str">
        <x:v>legacy</x:v>
      </x:c>
      <x:c r="E435" s="19" t="str">
        <x:v>每瓶一次；每配方12次</x:v>
      </x:c>
      <x:c r="F435" s="19" t="str">
        <x:v>BottleSensor</x:v>
      </x:c>
      <x:c r="G435" s="19" t="str"/>
      <x:c r="H435" s="19" t="str">
        <x:v>04 00 34 00 01</x:v>
      </x:c>
      <x:c r="I435" s="19" t="str">
        <x:v>Check station 1 sensor</x:v>
      </x:c>
      <x:c r="J435" s="19" t="str">
        <x:v>每50ms；截止3000ms</x:v>
      </x:c>
      <x:c r="K435" s="19" t="str">
        <x:v>04 02 00 01</x:v>
      </x:c>
      <x:c r="L435" s="19" t="str">
        <x:v>POS1_TIMEOUT</x:v>
      </x:c>
      <x:c r="M435" s="19" t="str">
        <x:v>candidate:layered/L3_group/step_03_bottle_position_detection.group.json</x:v>
      </x:c>
    </x:row>
    <x:row r="436" ht="34.5" customHeight="1">
      <x:c r="A436" s="15" t="str">
        <x:v>grape_small</x:v>
      </x:c>
      <x:c r="B436" s="17" t="n">
        <x:v>3</x:v>
      </x:c>
      <x:c r="C436" s="17" t="n">
        <x:v>4</x:v>
      </x:c>
      <x:c r="D436" s="15" t="str">
        <x:v>legacy</x:v>
      </x:c>
      <x:c r="E436" s="15" t="str">
        <x:v>每瓶一次；每配方12次</x:v>
      </x:c>
      <x:c r="F436" s="15" t="str">
        <x:v>BottleSensor</x:v>
      </x:c>
      <x:c r="G436" s="15" t="str"/>
      <x:c r="H436" s="15" t="str">
        <x:v>04 00 35 00 01</x:v>
      </x:c>
      <x:c r="I436" s="15" t="str">
        <x:v>Check station 2 sensor</x:v>
      </x:c>
      <x:c r="J436" s="15" t="str">
        <x:v>每50ms；截止3000ms</x:v>
      </x:c>
      <x:c r="K436" s="15" t="str">
        <x:v>04 02 00 01</x:v>
      </x:c>
      <x:c r="L436" s="15" t="str">
        <x:v>POS2_TIMEOUT</x:v>
      </x:c>
      <x:c r="M436" s="15" t="str">
        <x:v>candidate:layered/L3_group/step_03_bottle_position_detection.group.json</x:v>
      </x:c>
    </x:row>
    <x:row r="437" ht="34.5" customHeight="1">
      <x:c r="A437" s="19" t="str">
        <x:v>grape_small</x:v>
      </x:c>
      <x:c r="B437" s="18" t="n">
        <x:v>3</x:v>
      </x:c>
      <x:c r="C437" s="18" t="n">
        <x:v>5</x:v>
      </x:c>
      <x:c r="D437" s="19" t="str">
        <x:v>legacy</x:v>
      </x:c>
      <x:c r="E437" s="19" t="str">
        <x:v>每瓶一次；每配方12次</x:v>
      </x:c>
      <x:c r="F437" s="19" t="str">
        <x:v>BottleSensor</x:v>
      </x:c>
      <x:c r="G437" s="19" t="str"/>
      <x:c r="H437" s="19" t="str">
        <x:v>04 00 36 00 01</x:v>
      </x:c>
      <x:c r="I437" s="19" t="str">
        <x:v>Check station 3 sensor</x:v>
      </x:c>
      <x:c r="J437" s="19" t="str">
        <x:v>每50ms；截止3000ms</x:v>
      </x:c>
      <x:c r="K437" s="19" t="str">
        <x:v>04 02 00 01</x:v>
      </x:c>
      <x:c r="L437" s="19" t="str">
        <x:v>POS3_TIMEOUT</x:v>
      </x:c>
      <x:c r="M437" s="19" t="str">
        <x:v>candidate:layered/L3_group/step_03_bottle_position_detection.group.json</x:v>
      </x:c>
    </x:row>
    <x:row r="438" ht="34.5" customHeight="1">
      <x:c r="A438" s="15" t="str">
        <x:v>grape_small</x:v>
      </x:c>
      <x:c r="B438" s="17" t="n">
        <x:v>3</x:v>
      </x:c>
      <x:c r="C438" s="17" t="n">
        <x:v>6</x:v>
      </x:c>
      <x:c r="D438" s="15" t="str">
        <x:v>legacy</x:v>
      </x:c>
      <x:c r="E438" s="15" t="str">
        <x:v>每瓶一次；每配方12次</x:v>
      </x:c>
      <x:c r="F438" s="15" t="str">
        <x:v>BottleSensor</x:v>
      </x:c>
      <x:c r="G438" s="15" t="str"/>
      <x:c r="H438" s="15" t="str">
        <x:v>04 00 37 00 01</x:v>
      </x:c>
      <x:c r="I438" s="15" t="str">
        <x:v>Check station 4 sensor</x:v>
      </x:c>
      <x:c r="J438" s="15" t="str">
        <x:v>每50ms；截止3000ms</x:v>
      </x:c>
      <x:c r="K438" s="15" t="str">
        <x:v>04 02 00 01</x:v>
      </x:c>
      <x:c r="L438" s="15" t="str">
        <x:v>POS4_TIMEOUT</x:v>
      </x:c>
      <x:c r="M438" s="15" t="str">
        <x:v>candidate:layered/L3_group/step_03_bottle_position_detection.group.json</x:v>
      </x:c>
    </x:row>
    <x:row r="439" ht="34.5" customHeight="1">
      <x:c r="A439" s="19" t="str">
        <x:v>grape_small</x:v>
      </x:c>
      <x:c r="B439" s="18" t="n">
        <x:v>3</x:v>
      </x:c>
      <x:c r="C439" s="18" t="n">
        <x:v>7</x:v>
      </x:c>
      <x:c r="D439" s="19" t="str">
        <x:v>legacy</x:v>
      </x:c>
      <x:c r="E439" s="19" t="str">
        <x:v>每瓶一次；每配方12次</x:v>
      </x:c>
      <x:c r="F439" s="19" t="str">
        <x:v>BottleSensor</x:v>
      </x:c>
      <x:c r="G439" s="19" t="str"/>
      <x:c r="H439" s="19" t="str">
        <x:v>04 00 34 00 01；解码={"cacheStartByte":2,"cacheLength":2,"cacheEndian":"big","valueType":"uint16"}</x:v>
      </x:c>
      <x:c r="I439" s="19" t="str">
        <x:v>缓存pos1State</x:v>
      </x:c>
      <x:c r="J439" s="19" t="str"/>
      <x:c r="K439" s="19" t="str"/>
      <x:c r="L439" s="19" t="str"/>
      <x:c r="M439" s="19" t="str">
        <x:v>candidate:layered/L3_group/step_03_bottle_position_detection.group.json</x:v>
      </x:c>
    </x:row>
    <x:row r="440" ht="34.5" customHeight="1">
      <x:c r="A440" s="15" t="str">
        <x:v>grape_small</x:v>
      </x:c>
      <x:c r="B440" s="17" t="n">
        <x:v>3</x:v>
      </x:c>
      <x:c r="C440" s="17" t="n">
        <x:v>8</x:v>
      </x:c>
      <x:c r="D440" s="15" t="str">
        <x:v>legacy</x:v>
      </x:c>
      <x:c r="E440" s="15" t="str">
        <x:v>每瓶一次；每配方12次</x:v>
      </x:c>
      <x:c r="F440" s="15" t="str">
        <x:v>BottleSensor</x:v>
      </x:c>
      <x:c r="G440" s="15" t="str"/>
      <x:c r="H440" s="15" t="str">
        <x:v>04 00 35 00 01；解码={"cacheStartByte":2,"cacheLength":2,"cacheEndian":"big","valueType":"uint16"}</x:v>
      </x:c>
      <x:c r="I440" s="15" t="str">
        <x:v>缓存pos2State</x:v>
      </x:c>
      <x:c r="J440" s="15" t="str"/>
      <x:c r="K440" s="15" t="str"/>
      <x:c r="L440" s="15" t="str"/>
      <x:c r="M440" s="15" t="str">
        <x:v>candidate:layered/L3_group/step_03_bottle_position_detection.group.json</x:v>
      </x:c>
    </x:row>
    <x:row r="441" ht="34.5" customHeight="1">
      <x:c r="A441" s="19" t="str">
        <x:v>grape_small</x:v>
      </x:c>
      <x:c r="B441" s="18" t="n">
        <x:v>3</x:v>
      </x:c>
      <x:c r="C441" s="18" t="n">
        <x:v>9</x:v>
      </x:c>
      <x:c r="D441" s="19" t="str">
        <x:v>legacy</x:v>
      </x:c>
      <x:c r="E441" s="19" t="str">
        <x:v>每瓶一次；每配方12次</x:v>
      </x:c>
      <x:c r="F441" s="19" t="str">
        <x:v>BottleSensor</x:v>
      </x:c>
      <x:c r="G441" s="19" t="str"/>
      <x:c r="H441" s="19" t="str">
        <x:v>04 00 36 00 01；解码={"cacheStartByte":2,"cacheLength":2,"cacheEndian":"big","valueType":"uint16"}</x:v>
      </x:c>
      <x:c r="I441" s="19" t="str">
        <x:v>缓存pos3State</x:v>
      </x:c>
      <x:c r="J441" s="19" t="str"/>
      <x:c r="K441" s="19" t="str"/>
      <x:c r="L441" s="19" t="str"/>
      <x:c r="M441" s="19" t="str">
        <x:v>candidate:layered/L3_group/step_03_bottle_position_detection.group.json</x:v>
      </x:c>
    </x:row>
    <x:row r="442" ht="34.5" customHeight="1">
      <x:c r="A442" s="15" t="str">
        <x:v>grape_small</x:v>
      </x:c>
      <x:c r="B442" s="17" t="n">
        <x:v>3</x:v>
      </x:c>
      <x:c r="C442" s="17" t="n">
        <x:v>10</x:v>
      </x:c>
      <x:c r="D442" s="15" t="str">
        <x:v>legacy</x:v>
      </x:c>
      <x:c r="E442" s="15" t="str">
        <x:v>每瓶一次；每配方12次</x:v>
      </x:c>
      <x:c r="F442" s="15" t="str">
        <x:v>BottleSensor</x:v>
      </x:c>
      <x:c r="G442" s="15" t="str"/>
      <x:c r="H442" s="15" t="str">
        <x:v>04 00 37 00 01；解码={"cacheStartByte":2,"cacheLength":2,"cacheEndian":"big","valueType":"uint16"}</x:v>
      </x:c>
      <x:c r="I442" s="15" t="str">
        <x:v>缓存pos4State</x:v>
      </x:c>
      <x:c r="J442" s="15" t="str"/>
      <x:c r="K442" s="15" t="str"/>
      <x:c r="L442" s="15" t="str"/>
      <x:c r="M442" s="15" t="str">
        <x:v>candidate:layered/L3_group/step_03_bottle_position_detection.group.json</x:v>
      </x:c>
    </x:row>
    <x:row r="443" ht="34.5" customHeight="1">
      <x:c r="A443" s="19" t="str">
        <x:v>grape_small</x:v>
      </x:c>
      <x:c r="B443" s="18" t="n">
        <x:v>3</x:v>
      </x:c>
      <x:c r="C443" s="18" t="n">
        <x:v>11</x:v>
      </x:c>
      <x:c r="D443" s="19" t="str">
        <x:v>legacy</x:v>
      </x:c>
      <x:c r="E443" s="19" t="str">
        <x:v>每瓶一次；每配方12次</x:v>
      </x:c>
      <x:c r="F443" s="19" t="str">
        <x:v>FlowMeter</x:v>
      </x:c>
      <x:c r="G443" s="19" t="str"/>
      <x:c r="H443" s="19" t="str">
        <x:v>03 00 20 00 02；解码={"cacheStartByte":2,"cacheLength":4,"cacheEndian":"big","valueType":"int"}</x:v>
      </x:c>
      <x:c r="I443" s="19" t="str">
        <x:v>缓存bottleCount</x:v>
      </x:c>
      <x:c r="J443" s="19" t="str"/>
      <x:c r="K443" s="19" t="str"/>
      <x:c r="L443" s="19" t="str"/>
      <x:c r="M443" s="19" t="str">
        <x:v>candidate:layered/L3_group/step_03_bottle_position_detection.group.json</x:v>
      </x:c>
    </x:row>
    <x:row r="444" ht="34.5" customHeight="1">
      <x:c r="A444" s="15" t="str">
        <x:v>grape_small</x:v>
      </x:c>
      <x:c r="B444" s="17" t="n">
        <x:v>3</x:v>
      </x:c>
      <x:c r="C444" s="17" t="n">
        <x:v>12</x:v>
      </x:c>
      <x:c r="D444" s="15" t="str">
        <x:v>legacy</x:v>
      </x:c>
      <x:c r="E444" s="15" t="str">
        <x:v>每瓶一次；每配方12次</x:v>
      </x:c>
      <x:c r="F444" s="15" t="str"/>
      <x:c r="G444" s="15" t="str"/>
      <x:c r="H444" s="15" t="str">
        <x:v>BottleState</x:v>
      </x:c>
      <x:c r="I444" s="15" t="str">
        <x:v>更新UI=all ready</x:v>
      </x:c>
      <x:c r="J444" s="15" t="str"/>
      <x:c r="K444" s="15" t="str"/>
      <x:c r="L444" s="15" t="str"/>
      <x:c r="M444" s="15" t="str">
        <x:v>candidate:layered/L3_group/step_03_bottle_position_detection.group.json</x:v>
      </x:c>
    </x:row>
    <x:row r="445" ht="34.5" customHeight="1">
      <x:c r="A445" s="19" t="str">
        <x:v>grape_small</x:v>
      </x:c>
      <x:c r="B445" s="18" t="n">
        <x:v>4</x:v>
      </x:c>
      <x:c r="C445" s="18" t="n">
        <x:v>1</x:v>
      </x:c>
      <x:c r="D445" s="19" t="str">
        <x:v>legacy</x:v>
      </x:c>
      <x:c r="E445" s="19" t="str">
        <x:v>每瓶一次；每配方12次</x:v>
      </x:c>
      <x:c r="F445" s="19" t="str"/>
      <x:c r="G445" s="19" t="str"/>
      <x:c r="H445" s="19" t="str">
        <x:v>stage</x:v>
      </x:c>
      <x:c r="I445" s="19" t="str">
        <x:v>更新UI=04</x:v>
      </x:c>
      <x:c r="J445" s="19" t="str"/>
      <x:c r="K445" s="19" t="str"/>
      <x:c r="L445" s="19" t="str"/>
      <x:c r="M445" s="19" t="str">
        <x:v>candidate:layered/L3_group/step_04_in_bottle_rinsing.group.json</x:v>
      </x:c>
    </x:row>
    <x:row r="446" ht="34.5" customHeight="1">
      <x:c r="A446" s="15" t="str">
        <x:v>grape_small</x:v>
      </x:c>
      <x:c r="B446" s="17" t="n">
        <x:v>4</x:v>
      </x:c>
      <x:c r="C446" s="17" t="n">
        <x:v>2</x:v>
      </x:c>
      <x:c r="D446" s="15" t="str">
        <x:v>move</x:v>
      </x:c>
      <x:c r="E446" s="15" t="str">
        <x:v>每瓶一次；每配方12次</x:v>
      </x:c>
      <x:c r="F446" s="15" t="str">
        <x:v>X / Y1 / Y2 / Z</x:v>
      </x:c>
      <x:c r="G446" s="15" t="n">
        <x:v>33</x:v>
      </x:c>
      <x:c r="H446" s="15" t="str">
        <x:v>empty_entry</x:v>
      </x:c>
      <x:c r="I446" s="15" t="str">
        <x:v>移动至 small empty entry；PR=(3,3,3,1)；仅变化轴触发</x:v>
      </x:c>
      <x:c r="J446" s="15" t="str">
        <x:v>四电机各20ms轮询/4000ms截止</x:v>
      </x:c>
      <x:c r="K446" s="15" t="str">
        <x:v>全部就绪；缓存四位置；UI使用X/Y1/Z</x:v>
      </x:c>
      <x:c r="L446" s="15" t="str">
        <x:v>MOTION_TIMEOUT</x:v>
      </x:c>
      <x:c r="M446" s="15" t="str">
        <x:v>candidate:layered/L3_group/step_04_in_bottle_rinsing.group.json</x:v>
      </x:c>
    </x:row>
    <x:row r="447" ht="34.5" customHeight="1">
      <x:c r="A447" s="19" t="str">
        <x:v>grape_small</x:v>
      </x:c>
      <x:c r="B447" s="18" t="n">
        <x:v>4</x:v>
      </x:c>
      <x:c r="C447" s="18" t="n">
        <x:v>3</x:v>
      </x:c>
      <x:c r="D447" s="19" t="str">
        <x:v>move</x:v>
      </x:c>
      <x:c r="E447" s="19" t="str">
        <x:v>每瓶一次；每配方12次</x:v>
      </x:c>
      <x:c r="F447" s="19" t="str">
        <x:v>X / Y1 / Y2 / Z</x:v>
      </x:c>
      <x:c r="G447" s="19" t="n">
        <x:v>35</x:v>
      </x:c>
      <x:c r="H447" s="19" t="str">
        <x:v>rinse_entry</x:v>
      </x:c>
      <x:c r="I447" s="19" t="str">
        <x:v>移动至 small rinse entry；PR=(13,3,3,1)；仅变化轴触发</x:v>
      </x:c>
      <x:c r="J447" s="19" t="str">
        <x:v>四电机各20ms轮询/4000ms截止</x:v>
      </x:c>
      <x:c r="K447" s="19" t="str">
        <x:v>全部就绪；缓存四位置；UI使用X/Y1/Z</x:v>
      </x:c>
      <x:c r="L447" s="19" t="str">
        <x:v>MOTION_TIMEOUT</x:v>
      </x:c>
      <x:c r="M447" s="19" t="str">
        <x:v>candidate:layered/L3_group/step_04_in_bottle_rinsing.group.json</x:v>
      </x:c>
    </x:row>
    <x:row r="448" ht="34.5" customHeight="1">
      <x:c r="A448" s="15" t="str">
        <x:v>grape_small</x:v>
      </x:c>
      <x:c r="B448" s="17" t="n">
        <x:v>4</x:v>
      </x:c>
      <x:c r="C448" s="17" t="n">
        <x:v>4</x:v>
      </x:c>
      <x:c r="D448" s="15" t="str">
        <x:v>move</x:v>
      </x:c>
      <x:c r="E448" s="15" t="str">
        <x:v>每瓶一次；每配方12次</x:v>
      </x:c>
      <x:c r="F448" s="15" t="str">
        <x:v>X / Y1 / Y2 / Z</x:v>
      </x:c>
      <x:c r="G448" s="15" t="n">
        <x:v>36</x:v>
      </x:c>
      <x:c r="H448" s="15" t="str">
        <x:v>rinse_work</x:v>
      </x:c>
      <x:c r="I448" s="15" t="str">
        <x:v>移动至 small rinse work；PR=(13,3,3,4)；仅变化轴触发</x:v>
      </x:c>
      <x:c r="J448" s="15" t="str">
        <x:v>四电机各20ms轮询/4000ms截止</x:v>
      </x:c>
      <x:c r="K448" s="15" t="str">
        <x:v>全部就绪；缓存四位置；UI使用X/Y1/Z</x:v>
      </x:c>
      <x:c r="L448" s="15" t="str">
        <x:v>MOTION_TIMEOUT</x:v>
      </x:c>
      <x:c r="M448" s="15" t="str">
        <x:v>candidate:layered/L3_group/step_04_in_bottle_rinsing.group.json</x:v>
      </x:c>
    </x:row>
    <x:row r="449" ht="34.5" customHeight="1">
      <x:c r="A449" s="19" t="str">
        <x:v>grape_small</x:v>
      </x:c>
      <x:c r="B449" s="18" t="n">
        <x:v>4</x:v>
      </x:c>
      <x:c r="C449" s="18" t="n">
        <x:v>5</x:v>
      </x:c>
      <x:c r="D449" s="19" t="str">
        <x:v>legacy</x:v>
      </x:c>
      <x:c r="E449" s="19" t="str">
        <x:v>每瓶一次；每配方12次</x:v>
      </x:c>
      <x:c r="F449" s="19" t="str">
        <x:v>RinseValve</x:v>
      </x:c>
      <x:c r="G449" s="19" t="str"/>
      <x:c r="H449" s="19" t="str">
        <x:v>05 00 12 FF 00</x:v>
      </x:c>
      <x:c r="I449" s="19" t="str">
        <x:v>open Rinse valve</x:v>
      </x:c>
      <x:c r="J449" s="19" t="str"/>
      <x:c r="K449" s="19" t="str">
        <x:v>响应回显=05 00 12 FF 00</x:v>
      </x:c>
      <x:c r="L449" s="19" t="str"/>
      <x:c r="M449" s="19" t="str">
        <x:v>candidate:layered/L3_group/step_04_in_bottle_rinsing.group.json</x:v>
      </x:c>
    </x:row>
    <x:row r="450" ht="34.5" customHeight="1">
      <x:c r="A450" s="15" t="str">
        <x:v>grape_small</x:v>
      </x:c>
      <x:c r="B450" s="17" t="n">
        <x:v>4</x:v>
      </x:c>
      <x:c r="C450" s="17" t="n">
        <x:v>6</x:v>
      </x:c>
      <x:c r="D450" s="15" t="str">
        <x:v>legacy</x:v>
      </x:c>
      <x:c r="E450" s="15" t="str">
        <x:v>每瓶一次；每配方12次</x:v>
      </x:c>
      <x:c r="F450" s="15" t="str"/>
      <x:c r="G450" s="15" t="str"/>
      <x:c r="H450" s="15" t="str"/>
      <x:c r="I450" s="15" t="str">
        <x:v>显式等待(ms)</x:v>
      </x:c>
      <x:c r="J450" s="15" t="n">
        <x:v>5000</x:v>
      </x:c>
      <x:c r="K450" s="15" t="str"/>
      <x:c r="L450" s="15" t="str"/>
      <x:c r="M450" s="15" t="str">
        <x:v>candidate:layered/L3_group/step_04_in_bottle_rinsing.group.json</x:v>
      </x:c>
    </x:row>
    <x:row r="451" ht="34.5" customHeight="1">
      <x:c r="A451" s="19" t="str">
        <x:v>grape_small</x:v>
      </x:c>
      <x:c r="B451" s="18" t="n">
        <x:v>4</x:v>
      </x:c>
      <x:c r="C451" s="18" t="n">
        <x:v>7</x:v>
      </x:c>
      <x:c r="D451" s="19" t="str">
        <x:v>legacy</x:v>
      </x:c>
      <x:c r="E451" s="19" t="str">
        <x:v>每瓶一次；每配方12次</x:v>
      </x:c>
      <x:c r="F451" s="19" t="str">
        <x:v>RinseValve</x:v>
      </x:c>
      <x:c r="G451" s="19" t="str"/>
      <x:c r="H451" s="19" t="str">
        <x:v>05 00 12 00 00</x:v>
      </x:c>
      <x:c r="I451" s="19" t="str">
        <x:v>close Rinse valve</x:v>
      </x:c>
      <x:c r="J451" s="19" t="str"/>
      <x:c r="K451" s="19" t="str">
        <x:v>响应回显=05 00 12 00 00</x:v>
      </x:c>
      <x:c r="L451" s="19" t="str"/>
      <x:c r="M451" s="19" t="str">
        <x:v>candidate:layered/L3_group/step_04_in_bottle_rinsing.group.json</x:v>
      </x:c>
    </x:row>
    <x:row r="452" ht="34.5" customHeight="1">
      <x:c r="A452" s="15" t="str">
        <x:v>grape_small</x:v>
      </x:c>
      <x:c r="B452" s="17" t="n">
        <x:v>4</x:v>
      </x:c>
      <x:c r="C452" s="17" t="n">
        <x:v>8</x:v>
      </x:c>
      <x:c r="D452" s="15" t="str">
        <x:v>legacy</x:v>
      </x:c>
      <x:c r="E452" s="15" t="str">
        <x:v>每瓶一次；每配方12次</x:v>
      </x:c>
      <x:c r="F452" s="15" t="str">
        <x:v>PressureSensor</x:v>
      </x:c>
      <x:c r="G452" s="15" t="str"/>
      <x:c r="H452" s="15" t="str">
        <x:v>03 00 10 00 02；解码={"valueStartByte":2,"valueLength":4,"valueEndian":"little","valueType":"float"}</x:v>
      </x:c>
      <x:c r="I452" s="15" t="str">
        <x:v>check Rinse pressure&gt;=0.2MPa</x:v>
      </x:c>
      <x:c r="J452" s="15" t="str"/>
      <x:c r="K452" s="15" t="str">
        <x:v>greaterOrEqual 0.2</x:v>
      </x:c>
      <x:c r="L452" s="15" t="str">
        <x:v>RINSE_PRESSURE_LOW</x:v>
      </x:c>
      <x:c r="M452" s="15" t="str">
        <x:v>candidate:layered/L3_group/step_04_in_bottle_rinsing.group.json</x:v>
      </x:c>
    </x:row>
    <x:row r="453" ht="34.5" customHeight="1">
      <x:c r="A453" s="19" t="str">
        <x:v>grape_small</x:v>
      </x:c>
      <x:c r="B453" s="18" t="n">
        <x:v>4</x:v>
      </x:c>
      <x:c r="C453" s="18" t="n">
        <x:v>9</x:v>
      </x:c>
      <x:c r="D453" s="19" t="str">
        <x:v>legacy</x:v>
      </x:c>
      <x:c r="E453" s="19" t="str">
        <x:v>每瓶一次；每配方12次</x:v>
      </x:c>
      <x:c r="F453" s="19" t="str">
        <x:v>CIPValve</x:v>
      </x:c>
      <x:c r="G453" s="19" t="str"/>
      <x:c r="H453" s="19" t="str">
        <x:v>05 00 13 FF 00</x:v>
      </x:c>
      <x:c r="I453" s="19" t="str">
        <x:v>open Sanitize valve</x:v>
      </x:c>
      <x:c r="J453" s="19" t="str"/>
      <x:c r="K453" s="19" t="str">
        <x:v>响应回显=05 00 13 FF 00</x:v>
      </x:c>
      <x:c r="L453" s="19" t="str"/>
      <x:c r="M453" s="19" t="str">
        <x:v>candidate:layered/L3_group/step_04_in_bottle_rinsing.group.json</x:v>
      </x:c>
    </x:row>
    <x:row r="454" ht="34.5" customHeight="1">
      <x:c r="A454" s="15" t="str">
        <x:v>grape_small</x:v>
      </x:c>
      <x:c r="B454" s="17" t="n">
        <x:v>4</x:v>
      </x:c>
      <x:c r="C454" s="17" t="n">
        <x:v>10</x:v>
      </x:c>
      <x:c r="D454" s="15" t="str">
        <x:v>legacy</x:v>
      </x:c>
      <x:c r="E454" s="15" t="str">
        <x:v>每瓶一次；每配方12次</x:v>
      </x:c>
      <x:c r="F454" s="15" t="str"/>
      <x:c r="G454" s="15" t="str"/>
      <x:c r="H454" s="15" t="str"/>
      <x:c r="I454" s="15" t="str">
        <x:v>显式等待(ms)</x:v>
      </x:c>
      <x:c r="J454" s="15" t="n">
        <x:v>3000</x:v>
      </x:c>
      <x:c r="K454" s="15" t="str"/>
      <x:c r="L454" s="15" t="str"/>
      <x:c r="M454" s="15" t="str">
        <x:v>candidate:layered/L3_group/step_04_in_bottle_rinsing.group.json</x:v>
      </x:c>
    </x:row>
    <x:row r="455" ht="34.5" customHeight="1">
      <x:c r="A455" s="19" t="str">
        <x:v>grape_small</x:v>
      </x:c>
      <x:c r="B455" s="18" t="n">
        <x:v>4</x:v>
      </x:c>
      <x:c r="C455" s="18" t="n">
        <x:v>11</x:v>
      </x:c>
      <x:c r="D455" s="19" t="str">
        <x:v>legacy</x:v>
      </x:c>
      <x:c r="E455" s="19" t="str">
        <x:v>每瓶一次；每配方12次</x:v>
      </x:c>
      <x:c r="F455" s="19" t="str">
        <x:v>CIPValve</x:v>
      </x:c>
      <x:c r="G455" s="19" t="str"/>
      <x:c r="H455" s="19" t="str">
        <x:v>05 00 13 00 00</x:v>
      </x:c>
      <x:c r="I455" s="19" t="str">
        <x:v>close Sanitize valve</x:v>
      </x:c>
      <x:c r="J455" s="19" t="str"/>
      <x:c r="K455" s="19" t="str">
        <x:v>响应回显=05 00 13 00 00</x:v>
      </x:c>
      <x:c r="L455" s="19" t="str"/>
      <x:c r="M455" s="19" t="str">
        <x:v>candidate:layered/L3_group/step_04_in_bottle_rinsing.group.json</x:v>
      </x:c>
    </x:row>
    <x:row r="456" ht="34.5" customHeight="1">
      <x:c r="A456" s="15" t="str">
        <x:v>grape_small</x:v>
      </x:c>
      <x:c r="B456" s="17" t="n">
        <x:v>4</x:v>
      </x:c>
      <x:c r="C456" s="17" t="n">
        <x:v>12</x:v>
      </x:c>
      <x:c r="D456" s="15" t="str">
        <x:v>legacy</x:v>
      </x:c>
      <x:c r="E456" s="15" t="str">
        <x:v>每瓶一次；每配方12次</x:v>
      </x:c>
      <x:c r="F456" s="15" t="str">
        <x:v>CIPValve</x:v>
      </x:c>
      <x:c r="G456" s="15" t="str"/>
      <x:c r="H456" s="15" t="str">
        <x:v>05 00 14 FF 00</x:v>
      </x:c>
      <x:c r="I456" s="15" t="str">
        <x:v>open Drain valve</x:v>
      </x:c>
      <x:c r="J456" s="15" t="str"/>
      <x:c r="K456" s="15" t="str">
        <x:v>响应回显=05 00 14 FF 00</x:v>
      </x:c>
      <x:c r="L456" s="15" t="str"/>
      <x:c r="M456" s="15" t="str">
        <x:v>candidate:layered/L3_group/step_04_in_bottle_rinsing.group.json</x:v>
      </x:c>
    </x:row>
    <x:row r="457" ht="34.5" customHeight="1">
      <x:c r="A457" s="19" t="str">
        <x:v>grape_small</x:v>
      </x:c>
      <x:c r="B457" s="18" t="n">
        <x:v>4</x:v>
      </x:c>
      <x:c r="C457" s="18" t="n">
        <x:v>13</x:v>
      </x:c>
      <x:c r="D457" s="19" t="str">
        <x:v>legacy</x:v>
      </x:c>
      <x:c r="E457" s="19" t="str">
        <x:v>每瓶一次；每配方12次</x:v>
      </x:c>
      <x:c r="F457" s="19" t="str"/>
      <x:c r="G457" s="19" t="str"/>
      <x:c r="H457" s="19" t="str"/>
      <x:c r="I457" s="19" t="str">
        <x:v>显式等待(ms)</x:v>
      </x:c>
      <x:c r="J457" s="19" t="n">
        <x:v>3000</x:v>
      </x:c>
      <x:c r="K457" s="19" t="str"/>
      <x:c r="L457" s="19" t="str"/>
      <x:c r="M457" s="19" t="str">
        <x:v>candidate:layered/L3_group/step_04_in_bottle_rinsing.group.json</x:v>
      </x:c>
    </x:row>
    <x:row r="458" ht="34.5" customHeight="1">
      <x:c r="A458" s="15" t="str">
        <x:v>grape_small</x:v>
      </x:c>
      <x:c r="B458" s="17" t="n">
        <x:v>4</x:v>
      </x:c>
      <x:c r="C458" s="17" t="n">
        <x:v>14</x:v>
      </x:c>
      <x:c r="D458" s="15" t="str">
        <x:v>legacy</x:v>
      </x:c>
      <x:c r="E458" s="15" t="str">
        <x:v>每瓶一次；每配方12次</x:v>
      </x:c>
      <x:c r="F458" s="15" t="str">
        <x:v>CIPValve</x:v>
      </x:c>
      <x:c r="G458" s="15" t="str"/>
      <x:c r="H458" s="15" t="str">
        <x:v>05 00 14 00 00</x:v>
      </x:c>
      <x:c r="I458" s="15" t="str">
        <x:v>close Drain valve</x:v>
      </x:c>
      <x:c r="J458" s="15" t="str"/>
      <x:c r="K458" s="15" t="str">
        <x:v>响应回显=05 00 14 00 00</x:v>
      </x:c>
      <x:c r="L458" s="15" t="str"/>
      <x:c r="M458" s="15" t="str">
        <x:v>candidate:layered/L3_group/step_04_in_bottle_rinsing.group.json</x:v>
      </x:c>
    </x:row>
    <x:row r="459" ht="34.5" customHeight="1">
      <x:c r="A459" s="19" t="str">
        <x:v>grape_small</x:v>
      </x:c>
      <x:c r="B459" s="18" t="n">
        <x:v>4</x:v>
      </x:c>
      <x:c r="C459" s="18" t="n">
        <x:v>15</x:v>
      </x:c>
      <x:c r="D459" s="19" t="str">
        <x:v>legacy</x:v>
      </x:c>
      <x:c r="E459" s="19" t="str">
        <x:v>每瓶一次；每配方12次</x:v>
      </x:c>
      <x:c r="F459" s="19" t="str"/>
      <x:c r="G459" s="19" t="str"/>
      <x:c r="H459" s="19" t="str">
        <x:v>WashState</x:v>
      </x:c>
      <x:c r="I459" s="19" t="str">
        <x:v>更新UI=done</x:v>
      </x:c>
      <x:c r="J459" s="19" t="str"/>
      <x:c r="K459" s="19" t="str"/>
      <x:c r="L459" s="19" t="str"/>
      <x:c r="M459" s="19" t="str">
        <x:v>candidate:layered/L3_group/step_04_in_bottle_rinsing.group.json</x:v>
      </x:c>
    </x:row>
    <x:row r="460" ht="34.5" customHeight="1">
      <x:c r="A460" s="15" t="str">
        <x:v>grape_small</x:v>
      </x:c>
      <x:c r="B460" s="17" t="n">
        <x:v>4</x:v>
      </x:c>
      <x:c r="C460" s="17" t="n">
        <x:v>16</x:v>
      </x:c>
      <x:c r="D460" s="15" t="str">
        <x:v>move</x:v>
      </x:c>
      <x:c r="E460" s="15" t="str">
        <x:v>每瓶一次；每配方12次</x:v>
      </x:c>
      <x:c r="F460" s="15" t="str">
        <x:v>X / Y1 / Y2 / Z</x:v>
      </x:c>
      <x:c r="G460" s="15" t="n">
        <x:v>35</x:v>
      </x:c>
      <x:c r="H460" s="15" t="str">
        <x:v>rinse_entry</x:v>
      </x:c>
      <x:c r="I460" s="15" t="str">
        <x:v>移动至 small rinse entry；PR=(13,3,3,1)；仅变化轴触发</x:v>
      </x:c>
      <x:c r="J460" s="15" t="str">
        <x:v>四电机各20ms轮询/4000ms截止</x:v>
      </x:c>
      <x:c r="K460" s="15" t="str">
        <x:v>全部就绪；缓存四位置；UI使用X/Y1/Z</x:v>
      </x:c>
      <x:c r="L460" s="15" t="str">
        <x:v>MOTION_TIMEOUT</x:v>
      </x:c>
      <x:c r="M460" s="15" t="str">
        <x:v>candidate:layered/L3_group/step_04_in_bottle_rinsing.group.json</x:v>
      </x:c>
    </x:row>
    <x:row r="461" ht="34.5" customHeight="1">
      <x:c r="A461" s="19" t="str">
        <x:v>grape_small</x:v>
      </x:c>
      <x:c r="B461" s="18" t="n">
        <x:v>5</x:v>
      </x:c>
      <x:c r="C461" s="18" t="n">
        <x:v>1</x:v>
      </x:c>
      <x:c r="D461" s="19" t="str">
        <x:v>legacy</x:v>
      </x:c>
      <x:c r="E461" s="19" t="str">
        <x:v>每瓶一次；每配方12次</x:v>
      </x:c>
      <x:c r="F461" s="19" t="str"/>
      <x:c r="G461" s="19" t="str"/>
      <x:c r="H461" s="19" t="str">
        <x:v>stage</x:v>
      </x:c>
      <x:c r="I461" s="19" t="str">
        <x:v>更新UI=05</x:v>
      </x:c>
      <x:c r="J461" s="19" t="str"/>
      <x:c r="K461" s="19" t="str"/>
      <x:c r="L461" s="19" t="str"/>
      <x:c r="M461" s="19" t="str">
        <x:v>candidate:layered/L3_group/step_05_filling_positioning.group.json</x:v>
      </x:c>
    </x:row>
    <x:row r="462" ht="34.5" customHeight="1">
      <x:c r="A462" s="15" t="str">
        <x:v>grape_small</x:v>
      </x:c>
      <x:c r="B462" s="17" t="n">
        <x:v>5</x:v>
      </x:c>
      <x:c r="C462" s="17" t="n">
        <x:v>2</x:v>
      </x:c>
      <x:c r="D462" s="15" t="str">
        <x:v>move</x:v>
      </x:c>
      <x:c r="E462" s="15" t="str">
        <x:v>每瓶一次；每配方12次</x:v>
      </x:c>
      <x:c r="F462" s="15" t="str">
        <x:v>X / Y1 / Y2 / Z</x:v>
      </x:c>
      <x:c r="G462" s="15" t="n">
        <x:v>47</x:v>
      </x:c>
      <x:c r="H462" s="15" t="str">
        <x:v>fill_entry</x:v>
      </x:c>
      <x:c r="I462" s="15" t="str">
        <x:v>移动至 grape small fill entry；PR=(6,12,12,1)；仅变化轴触发</x:v>
      </x:c>
      <x:c r="J462" s="15" t="str">
        <x:v>四电机各20ms轮询/4000ms截止</x:v>
      </x:c>
      <x:c r="K462" s="15" t="str">
        <x:v>全部就绪；缓存四位置；UI使用X/Y1/Z</x:v>
      </x:c>
      <x:c r="L462" s="15" t="str">
        <x:v>MOTION_TIMEOUT</x:v>
      </x:c>
      <x:c r="M462" s="15" t="str">
        <x:v>candidate:layered/L3_group/step_05_filling_positioning.group.json</x:v>
      </x:c>
    </x:row>
    <x:row r="463" ht="34.5" customHeight="1">
      <x:c r="A463" s="19" t="str">
        <x:v>grape_small</x:v>
      </x:c>
      <x:c r="B463" s="18" t="n">
        <x:v>5</x:v>
      </x:c>
      <x:c r="C463" s="18" t="n">
        <x:v>3</x:v>
      </x:c>
      <x:c r="D463" s="19" t="str">
        <x:v>move</x:v>
      </x:c>
      <x:c r="E463" s="19" t="str">
        <x:v>每瓶一次；每配方12次</x:v>
      </x:c>
      <x:c r="F463" s="19" t="str">
        <x:v>X / Y1 / Y2 / Z</x:v>
      </x:c>
      <x:c r="G463" s="19" t="n">
        <x:v>48</x:v>
      </x:c>
      <x:c r="H463" s="19" t="str">
        <x:v>fill_work</x:v>
      </x:c>
      <x:c r="I463" s="19" t="str">
        <x:v>移动至 grape small fill work；PR=(6,12,12,4)；仅变化轴触发</x:v>
      </x:c>
      <x:c r="J463" s="19" t="str">
        <x:v>四电机各20ms轮询/4000ms截止</x:v>
      </x:c>
      <x:c r="K463" s="19" t="str">
        <x:v>全部就绪；缓存四位置；UI使用X/Y1/Z</x:v>
      </x:c>
      <x:c r="L463" s="19" t="str">
        <x:v>MOTION_TIMEOUT</x:v>
      </x:c>
      <x:c r="M463" s="19" t="str">
        <x:v>candidate:layered/L3_group/step_05_filling_positioning.group.json</x:v>
      </x:c>
    </x:row>
    <x:row r="464" ht="34.5" customHeight="1">
      <x:c r="A464" s="15" t="str">
        <x:v>grape_small</x:v>
      </x:c>
      <x:c r="B464" s="17" t="n">
        <x:v>5</x:v>
      </x:c>
      <x:c r="C464" s="17" t="n">
        <x:v>4</x:v>
      </x:c>
      <x:c r="D464" s="15" t="str">
        <x:v>legacy</x:v>
      </x:c>
      <x:c r="E464" s="15" t="str">
        <x:v>每瓶一次；每配方12次</x:v>
      </x:c>
      <x:c r="F464" s="15" t="str">
        <x:v>BottleSensor</x:v>
      </x:c>
      <x:c r="G464" s="15" t="str"/>
      <x:c r="H464" s="15" t="str">
        <x:v>04 00 42 00 01</x:v>
      </x:c>
      <x:c r="I464" s="15" t="str">
        <x:v>Check station 1 arrival</x:v>
      </x:c>
      <x:c r="J464" s="15" t="str">
        <x:v>每50ms；截止3000ms</x:v>
      </x:c>
      <x:c r="K464" s="15" t="str">
        <x:v>04 02 00 01</x:v>
      </x:c>
      <x:c r="L464" s="15" t="str">
        <x:v>FILL1_POS_TIMEOUT</x:v>
      </x:c>
      <x:c r="M464" s="15" t="str">
        <x:v>candidate:layered/L3_group/step_05_filling_positioning.group.json</x:v>
      </x:c>
    </x:row>
    <x:row r="465" ht="34.5" customHeight="1">
      <x:c r="A465" s="19" t="str">
        <x:v>grape_small</x:v>
      </x:c>
      <x:c r="B465" s="18" t="n">
        <x:v>5</x:v>
      </x:c>
      <x:c r="C465" s="18" t="n">
        <x:v>5</x:v>
      </x:c>
      <x:c r="D465" s="19" t="str">
        <x:v>legacy</x:v>
      </x:c>
      <x:c r="E465" s="19" t="str">
        <x:v>每瓶一次；每配方12次</x:v>
      </x:c>
      <x:c r="F465" s="19" t="str">
        <x:v>BottleSensor</x:v>
      </x:c>
      <x:c r="G465" s="19" t="str"/>
      <x:c r="H465" s="19" t="str">
        <x:v>04 00 43 00 01</x:v>
      </x:c>
      <x:c r="I465" s="19" t="str">
        <x:v>Check station 2 arrival</x:v>
      </x:c>
      <x:c r="J465" s="19" t="str">
        <x:v>每50ms；截止3000ms</x:v>
      </x:c>
      <x:c r="K465" s="19" t="str">
        <x:v>04 02 00 01</x:v>
      </x:c>
      <x:c r="L465" s="19" t="str">
        <x:v>FILL2_POS_TIMEOUT</x:v>
      </x:c>
      <x:c r="M465" s="19" t="str">
        <x:v>candidate:layered/L3_group/step_05_filling_positioning.group.json</x:v>
      </x:c>
    </x:row>
    <x:row r="466" ht="34.5" customHeight="1">
      <x:c r="A466" s="15" t="str">
        <x:v>grape_small</x:v>
      </x:c>
      <x:c r="B466" s="17" t="n">
        <x:v>5</x:v>
      </x:c>
      <x:c r="C466" s="17" t="n">
        <x:v>6</x:v>
      </x:c>
      <x:c r="D466" s="15" t="str">
        <x:v>legacy</x:v>
      </x:c>
      <x:c r="E466" s="15" t="str">
        <x:v>每瓶一次；每配方12次</x:v>
      </x:c>
      <x:c r="F466" s="15" t="str">
        <x:v>BottleSensor</x:v>
      </x:c>
      <x:c r="G466" s="15" t="str"/>
      <x:c r="H466" s="15" t="str">
        <x:v>04 00 44 00 01</x:v>
      </x:c>
      <x:c r="I466" s="15" t="str">
        <x:v>Check station 3 arrival</x:v>
      </x:c>
      <x:c r="J466" s="15" t="str">
        <x:v>每50ms；截止3000ms</x:v>
      </x:c>
      <x:c r="K466" s="15" t="str">
        <x:v>04 02 00 01</x:v>
      </x:c>
      <x:c r="L466" s="15" t="str">
        <x:v>FILL3_POS_TIMEOUT</x:v>
      </x:c>
      <x:c r="M466" s="15" t="str">
        <x:v>candidate:layered/L3_group/step_05_filling_positioning.group.json</x:v>
      </x:c>
    </x:row>
    <x:row r="467" ht="34.5" customHeight="1">
      <x:c r="A467" s="19" t="str">
        <x:v>grape_small</x:v>
      </x:c>
      <x:c r="B467" s="18" t="n">
        <x:v>5</x:v>
      </x:c>
      <x:c r="C467" s="18" t="n">
        <x:v>7</x:v>
      </x:c>
      <x:c r="D467" s="19" t="str">
        <x:v>legacy</x:v>
      </x:c>
      <x:c r="E467" s="19" t="str">
        <x:v>每瓶一次；每配方12次</x:v>
      </x:c>
      <x:c r="F467" s="19" t="str">
        <x:v>BottleSensor</x:v>
      </x:c>
      <x:c r="G467" s="19" t="str"/>
      <x:c r="H467" s="19" t="str">
        <x:v>04 00 45 00 01</x:v>
      </x:c>
      <x:c r="I467" s="19" t="str">
        <x:v>Check station 4 arrival</x:v>
      </x:c>
      <x:c r="J467" s="19" t="str">
        <x:v>每50ms；截止3000ms</x:v>
      </x:c>
      <x:c r="K467" s="19" t="str">
        <x:v>04 02 00 01</x:v>
      </x:c>
      <x:c r="L467" s="19" t="str">
        <x:v>FILL4_POS_TIMEOUT</x:v>
      </x:c>
      <x:c r="M467" s="19" t="str">
        <x:v>candidate:layered/L3_group/step_05_filling_positioning.group.json</x:v>
      </x:c>
    </x:row>
    <x:row r="468" ht="22.5" customHeight="1">
      <x:c r="A468" s="15" t="str">
        <x:v>grape_small</x:v>
      </x:c>
      <x:c r="B468" s="17" t="n">
        <x:v>6</x:v>
      </x:c>
      <x:c r="C468" s="17" t="n">
        <x:v>1</x:v>
      </x:c>
      <x:c r="D468" s="15" t="str">
        <x:v>legacy</x:v>
      </x:c>
      <x:c r="E468" s="15" t="str">
        <x:v>每瓶一次；每配方12次</x:v>
      </x:c>
      <x:c r="F468" s="15" t="str"/>
      <x:c r="G468" s="15" t="str"/>
      <x:c r="H468" s="15" t="str">
        <x:v>stage</x:v>
      </x:c>
      <x:c r="I468" s="15" t="str">
        <x:v>更新UI=06</x:v>
      </x:c>
      <x:c r="J468" s="15" t="str"/>
      <x:c r="K468" s="15" t="str"/>
      <x:c r="L468" s="15" t="str"/>
      <x:c r="M468" s="15" t="str">
        <x:v>candidate:layered/L3_group/step_06_filling.group.json</x:v>
      </x:c>
    </x:row>
    <x:row r="469" ht="22.5" customHeight="1">
      <x:c r="A469" s="19" t="str">
        <x:v>grape_small</x:v>
      </x:c>
      <x:c r="B469" s="18" t="n">
        <x:v>6</x:v>
      </x:c>
      <x:c r="C469" s="18" t="n">
        <x:v>2</x:v>
      </x:c>
      <x:c r="D469" s="19" t="str">
        <x:v>legacy</x:v>
      </x:c>
      <x:c r="E469" s="19" t="str">
        <x:v>每瓶一次；每配方12次</x:v>
      </x:c>
      <x:c r="F469" s="19" t="str">
        <x:v>FlowMeter</x:v>
      </x:c>
      <x:c r="G469" s="19" t="str"/>
      <x:c r="H469" s="19" t="str">
        <x:v>06 00 01 00 00</x:v>
      </x:c>
      <x:c r="I469" s="19" t="str">
        <x:v>Write FlowMeter register 0001</x:v>
      </x:c>
      <x:c r="J469" s="19" t="str"/>
      <x:c r="K469" s="19" t="str">
        <x:v>响应回显=06 00 01 00 00</x:v>
      </x:c>
      <x:c r="L469" s="19" t="str"/>
      <x:c r="M469" s="19" t="str">
        <x:v>candidate:layered/L3_group/step_06_filling.group.json</x:v>
      </x:c>
    </x:row>
    <x:row r="470" ht="22.5" customHeight="1">
      <x:c r="A470" s="15" t="str">
        <x:v>grape_small</x:v>
      </x:c>
      <x:c r="B470" s="17" t="n">
        <x:v>6</x:v>
      </x:c>
      <x:c r="C470" s="17" t="n">
        <x:v>3</x:v>
      </x:c>
      <x:c r="D470" s="15" t="str">
        <x:v>volume</x:v>
      </x:c>
      <x:c r="E470" s="15" t="str">
        <x:v>每瓶一次；每配方12次</x:v>
      </x:c>
      <x:c r="F470" s="15" t="str">
        <x:v>GrapeFill</x:v>
      </x:c>
      <x:c r="G470" s="15" t="str"/>
      <x:c r="H470" s="15" t="str">
        <x:v>FC06 0x0010</x:v>
      </x:c>
      <x:c r="I470" s="15" t="str">
        <x:v>设置容量mL=250</x:v>
      </x:c>
      <x:c r="J470" s="15" t="str"/>
      <x:c r="K470" s="15" t="str">
        <x:v>写入响应回显</x:v>
      </x:c>
      <x:c r="L470" s="15" t="str"/>
      <x:c r="M470" s="15" t="str">
        <x:v>candidate:layered/L3_group/step_06_filling.group.json</x:v>
      </x:c>
    </x:row>
    <x:row r="471" ht="22.5" customHeight="1">
      <x:c r="A471" s="19" t="str">
        <x:v>grape_small</x:v>
      </x:c>
      <x:c r="B471" s="18" t="n">
        <x:v>6</x:v>
      </x:c>
      <x:c r="C471" s="18" t="n">
        <x:v>4</x:v>
      </x:c>
      <x:c r="D471" s="19" t="str">
        <x:v>fill_time</x:v>
      </x:c>
      <x:c r="E471" s="19" t="str">
        <x:v>每瓶一次；每配方12次</x:v>
      </x:c>
      <x:c r="F471" s="19" t="str">
        <x:v>GrapeFill</x:v>
      </x:c>
      <x:c r="G471" s="19" t="str"/>
      <x:c r="H471" s="19" t="str">
        <x:v>FC06 0x0011</x:v>
      </x:c>
      <x:c r="I471" s="19" t="str">
        <x:v>设置灌装ms=1137</x:v>
      </x:c>
      <x:c r="J471" s="19" t="str"/>
      <x:c r="K471" s="19" t="str">
        <x:v>写入响应回显</x:v>
      </x:c>
      <x:c r="L471" s="19" t="str"/>
      <x:c r="M471" s="19" t="str">
        <x:v>candidate:layered/L3_group/step_06_filling.group.json</x:v>
      </x:c>
    </x:row>
    <x:row r="472" ht="22.5" customHeight="1">
      <x:c r="A472" s="15" t="str">
        <x:v>grape_small</x:v>
      </x:c>
      <x:c r="B472" s="17" t="n">
        <x:v>6</x:v>
      </x:c>
      <x:c r="C472" s="17" t="n">
        <x:v>5</x:v>
      </x:c>
      <x:c r="D472" s="15" t="str">
        <x:v>coil</x:v>
      </x:c>
      <x:c r="E472" s="15" t="str">
        <x:v>每瓶一次；每配方12次</x:v>
      </x:c>
      <x:c r="F472" s="15" t="str">
        <x:v>GrapeFill</x:v>
      </x:c>
      <x:c r="G472" s="15" t="str"/>
      <x:c r="H472" s="15" t="str">
        <x:v>FC05 0x0000</x:v>
      </x:c>
      <x:c r="I472" s="15" t="str">
        <x:v>开启</x:v>
      </x:c>
      <x:c r="J472" s="15" t="str"/>
      <x:c r="K472" s="15" t="str">
        <x:v>写入响应回显</x:v>
      </x:c>
      <x:c r="L472" s="15" t="str"/>
      <x:c r="M472" s="15" t="str">
        <x:v>candidate:layered/L3_group/step_06_filling.group.json</x:v>
      </x:c>
    </x:row>
    <x:row r="473" ht="22.5" customHeight="1">
      <x:c r="A473" s="19" t="str">
        <x:v>grape_small</x:v>
      </x:c>
      <x:c r="B473" s="18" t="n">
        <x:v>6</x:v>
      </x:c>
      <x:c r="C473" s="18" t="n">
        <x:v>6</x:v>
      </x:c>
      <x:c r="D473" s="19" t="str">
        <x:v>ready</x:v>
      </x:c>
      <x:c r="E473" s="19" t="str">
        <x:v>每瓶一次；每配方12次</x:v>
      </x:c>
      <x:c r="F473" s="19" t="str">
        <x:v>GrapeFill</x:v>
      </x:c>
      <x:c r="G473" s="19" t="str"/>
      <x:c r="H473" s="19" t="str">
        <x:v>FC04 0x0000</x:v>
      </x:c>
      <x:c r="I473" s="19" t="str">
        <x:v>等待设备完成</x:v>
      </x:c>
      <x:c r="J473" s="19" t="str">
        <x:v>每20ms；截止20000ms</x:v>
      </x:c>
      <x:c r="K473" s="19" t="str">
        <x:v>04 02 00 01</x:v>
      </x:c>
      <x:c r="L473" s="19" t="str">
        <x:v>FILL_TIMEOUT</x:v>
      </x:c>
      <x:c r="M473" s="19" t="str">
        <x:v>candidate:layered/L3_group/step_06_filling.group.json</x:v>
      </x:c>
    </x:row>
    <x:row r="474" ht="34.5" customHeight="1">
      <x:c r="A474" s="15" t="str">
        <x:v>grape_small</x:v>
      </x:c>
      <x:c r="B474" s="17" t="n">
        <x:v>6</x:v>
      </x:c>
      <x:c r="C474" s="17" t="n">
        <x:v>7</x:v>
      </x:c>
      <x:c r="D474" s="15" t="str">
        <x:v>legacy</x:v>
      </x:c>
      <x:c r="E474" s="15" t="str">
        <x:v>每瓶一次；每配方12次</x:v>
      </x:c>
      <x:c r="F474" s="15" t="str">
        <x:v>FlowMeter</x:v>
      </x:c>
      <x:c r="G474" s="15" t="str"/>
      <x:c r="H474" s="15" t="str">
        <x:v>03 00 00 00 02；解码={"valueStartByte":2,"valueLength":4,"valueEndian":"little","valueType":"float"}</x:v>
      </x:c>
      <x:c r="I474" s="15" t="str">
        <x:v>检查流量达到配方容量（旧name仍写500ml；实际compareValue如下）</x:v>
      </x:c>
      <x:c r="J474" s="15" t="str"/>
      <x:c r="K474" s="15" t="str">
        <x:v>greaterOrEqual 250</x:v>
      </x:c>
      <x:c r="L474" s="15" t="str">
        <x:v>FLOW_NOT_REACHED</x:v>
      </x:c>
      <x:c r="M474" s="15" t="str">
        <x:v>candidate:layered/L3_group/step_06_filling.group.json</x:v>
      </x:c>
    </x:row>
    <x:row r="475" ht="22.5" customHeight="1">
      <x:c r="A475" s="19" t="str">
        <x:v>grape_small</x:v>
      </x:c>
      <x:c r="B475" s="18" t="n">
        <x:v>6</x:v>
      </x:c>
      <x:c r="C475" s="18" t="n">
        <x:v>8</x:v>
      </x:c>
      <x:c r="D475" s="19" t="str">
        <x:v>legacy</x:v>
      </x:c>
      <x:c r="E475" s="19" t="str">
        <x:v>每瓶一次；每配方12次</x:v>
      </x:c>
      <x:c r="F475" s="19" t="str">
        <x:v>LevelSensor</x:v>
      </x:c>
      <x:c r="G475" s="19" t="str"/>
      <x:c r="H475" s="19" t="str">
        <x:v>04 00 38 00 01</x:v>
      </x:c>
      <x:c r="I475" s="19" t="str">
        <x:v>Check level sensor</x:v>
      </x:c>
      <x:c r="J475" s="19" t="str">
        <x:v>每50ms；截止8000ms</x:v>
      </x:c>
      <x:c r="K475" s="19" t="str">
        <x:v>04 02 00 01</x:v>
      </x:c>
      <x:c r="L475" s="19" t="str">
        <x:v>LEVEL_TIMEOUT</x:v>
      </x:c>
      <x:c r="M475" s="19" t="str">
        <x:v>candidate:layered/L3_group/step_06_filling.group.json</x:v>
      </x:c>
    </x:row>
    <x:row r="476" ht="22.5" customHeight="1">
      <x:c r="A476" s="15" t="str">
        <x:v>grape_small</x:v>
      </x:c>
      <x:c r="B476" s="17" t="n">
        <x:v>6</x:v>
      </x:c>
      <x:c r="C476" s="17" t="n">
        <x:v>9</x:v>
      </x:c>
      <x:c r="D476" s="15" t="str">
        <x:v>coil</x:v>
      </x:c>
      <x:c r="E476" s="15" t="str">
        <x:v>每瓶一次；每配方12次</x:v>
      </x:c>
      <x:c r="F476" s="15" t="str">
        <x:v>GrapeFill</x:v>
      </x:c>
      <x:c r="G476" s="15" t="str"/>
      <x:c r="H476" s="15" t="str">
        <x:v>FC05 0x0000</x:v>
      </x:c>
      <x:c r="I476" s="15" t="str">
        <x:v>关闭</x:v>
      </x:c>
      <x:c r="J476" s="15" t="str"/>
      <x:c r="K476" s="15" t="str">
        <x:v>写入响应回显</x:v>
      </x:c>
      <x:c r="L476" s="15" t="str"/>
      <x:c r="M476" s="15" t="str">
        <x:v>candidate:layered/L3_group/step_06_filling.group.json</x:v>
      </x:c>
    </x:row>
    <x:row r="477" ht="22.5" customHeight="1">
      <x:c r="A477" s="19" t="str">
        <x:v>grape_small</x:v>
      </x:c>
      <x:c r="B477" s="18" t="n">
        <x:v>6</x:v>
      </x:c>
      <x:c r="C477" s="18" t="n">
        <x:v>10</x:v>
      </x:c>
      <x:c r="D477" s="19" t="str">
        <x:v>repeat_legacy</x:v>
      </x:c>
      <x:c r="E477" s="19" t="str">
        <x:v>每瓶一次；每配方12次</x:v>
      </x:c>
      <x:c r="F477" s="19" t="str">
        <x:v>PressureSensor</x:v>
      </x:c>
      <x:c r="G477" s="19" t="str"/>
      <x:c r="H477" s="19" t="str">
        <x:v>03 00 12 00 02</x:v>
      </x:c>
      <x:c r="I477" s="19" t="str">
        <x:v>连续重复检查4次；无额外等待</x:v>
      </x:c>
      <x:c r="J477" s="19" t="str"/>
      <x:c r="K477" s="19" t="str">
        <x:v>greaterOrEqual 0.1</x:v>
      </x:c>
      <x:c r="L477" s="19" t="str">
        <x:v>FILL_PRESSURE_LOW</x:v>
      </x:c>
      <x:c r="M477" s="19" t="str">
        <x:v>candidate:layered/L3_group/step_06_filling.group.json</x:v>
      </x:c>
    </x:row>
    <x:row r="478" ht="34.5" customHeight="1">
      <x:c r="A478" s="15" t="str">
        <x:v>grape_small</x:v>
      </x:c>
      <x:c r="B478" s="17" t="n">
        <x:v>6</x:v>
      </x:c>
      <x:c r="C478" s="17" t="n">
        <x:v>11</x:v>
      </x:c>
      <x:c r="D478" s="15" t="str">
        <x:v>legacy</x:v>
      </x:c>
      <x:c r="E478" s="15" t="str">
        <x:v>每瓶一次；每配方12次</x:v>
      </x:c>
      <x:c r="F478" s="15" t="str">
        <x:v>FlowMeter</x:v>
      </x:c>
      <x:c r="G478" s="15" t="str"/>
      <x:c r="H478" s="15" t="str">
        <x:v>03 00 00 00 02；解码={"cacheStartByte":2,"cacheLength":4,"cacheEndian":"little","valueType":"float"}</x:v>
      </x:c>
      <x:c r="I478" s="15" t="str">
        <x:v>缓存totalVolume</x:v>
      </x:c>
      <x:c r="J478" s="15" t="str"/>
      <x:c r="K478" s="15" t="str"/>
      <x:c r="L478" s="15" t="str"/>
      <x:c r="M478" s="15" t="str">
        <x:v>candidate:layered/L3_group/step_06_filling.group.json</x:v>
      </x:c>
    </x:row>
    <x:row r="479" ht="22.5" customHeight="1">
      <x:c r="A479" s="19" t="str">
        <x:v>grape_small</x:v>
      </x:c>
      <x:c r="B479" s="18" t="n">
        <x:v>6</x:v>
      </x:c>
      <x:c r="C479" s="18" t="n">
        <x:v>12</x:v>
      </x:c>
      <x:c r="D479" s="19" t="str">
        <x:v>read_volume</x:v>
      </x:c>
      <x:c r="E479" s="19" t="str">
        <x:v>每瓶一次；每配方12次</x:v>
      </x:c>
      <x:c r="F479" s="19" t="str">
        <x:v>GrapeFill</x:v>
      </x:c>
      <x:c r="G479" s="19" t="str"/>
      <x:c r="H479" s="19" t="str">
        <x:v>FC03 0x0012</x:v>
      </x:c>
      <x:c r="I479" s="19" t="str">
        <x:v>读实灌量dispensed_ml并刷新dispensedMl</x:v>
      </x:c>
      <x:c r="J479" s="19" t="str"/>
      <x:c r="K479" s="19" t="str"/>
      <x:c r="L479" s="19" t="str"/>
      <x:c r="M479" s="19" t="str">
        <x:v>candidate:layered/L3_group/step_06_filling.group.json</x:v>
      </x:c>
    </x:row>
    <x:row r="480" ht="22.5" customHeight="1">
      <x:c r="A480" s="15" t="str">
        <x:v>grape_small</x:v>
      </x:c>
      <x:c r="B480" s="17" t="n">
        <x:v>6</x:v>
      </x:c>
      <x:c r="C480" s="17" t="n">
        <x:v>13</x:v>
      </x:c>
      <x:c r="D480" s="15" t="str">
        <x:v>legacy</x:v>
      </x:c>
      <x:c r="E480" s="15" t="str">
        <x:v>每瓶一次；每配方12次</x:v>
      </x:c>
      <x:c r="F480" s="15" t="str"/>
      <x:c r="G480" s="15" t="str"/>
      <x:c r="H480" s="15" t="str">
        <x:v>FillState</x:v>
      </x:c>
      <x:c r="I480" s="15" t="str">
        <x:v>更新UI=done</x:v>
      </x:c>
      <x:c r="J480" s="15" t="str"/>
      <x:c r="K480" s="15" t="str"/>
      <x:c r="L480" s="15" t="str"/>
      <x:c r="M480" s="15" t="str">
        <x:v>candidate:layered/L3_group/step_06_filling.group.json</x:v>
      </x:c>
    </x:row>
    <x:row r="481" ht="34.5" customHeight="1">
      <x:c r="A481" s="19" t="str">
        <x:v>grape_small</x:v>
      </x:c>
      <x:c r="B481" s="18" t="n">
        <x:v>7</x:v>
      </x:c>
      <x:c r="C481" s="18" t="n">
        <x:v>1</x:v>
      </x:c>
      <x:c r="D481" s="19" t="str">
        <x:v>legacy</x:v>
      </x:c>
      <x:c r="E481" s="19" t="str">
        <x:v>每瓶一次；每配方12次</x:v>
      </x:c>
      <x:c r="F481" s="19" t="str"/>
      <x:c r="G481" s="19" t="str"/>
      <x:c r="H481" s="19" t="str">
        <x:v>stage</x:v>
      </x:c>
      <x:c r="I481" s="19" t="str">
        <x:v>更新UI=07</x:v>
      </x:c>
      <x:c r="J481" s="19" t="str"/>
      <x:c r="K481" s="19" t="str"/>
      <x:c r="L481" s="19" t="str"/>
      <x:c r="M481" s="19" t="str">
        <x:v>candidate:layered/L3_group/step_07_level_recheck.group.json</x:v>
      </x:c>
    </x:row>
    <x:row r="482" ht="34.5" customHeight="1">
      <x:c r="A482" s="15" t="str">
        <x:v>grape_small</x:v>
      </x:c>
      <x:c r="B482" s="17" t="n">
        <x:v>7</x:v>
      </x:c>
      <x:c r="C482" s="17" t="n">
        <x:v>2</x:v>
      </x:c>
      <x:c r="D482" s="15" t="str">
        <x:v>legacy</x:v>
      </x:c>
      <x:c r="E482" s="15" t="str">
        <x:v>每瓶一次；每配方12次</x:v>
      </x:c>
      <x:c r="F482" s="15" t="str">
        <x:v>LevelSensor</x:v>
      </x:c>
      <x:c r="G482" s="15" t="str"/>
      <x:c r="H482" s="15" t="str">
        <x:v>04 00 38 00 01</x:v>
      </x:c>
      <x:c r="I482" s="15" t="str">
        <x:v>Check level 1</x:v>
      </x:c>
      <x:c r="J482" s="15" t="str">
        <x:v>每50ms；截止3000ms</x:v>
      </x:c>
      <x:c r="K482" s="15" t="str">
        <x:v>04 02 00 01</x:v>
      </x:c>
      <x:c r="L482" s="15" t="str">
        <x:v>RECHECK1_FAIL</x:v>
      </x:c>
      <x:c r="M482" s="15" t="str">
        <x:v>candidate:layered/L3_group/step_07_level_recheck.group.json</x:v>
      </x:c>
    </x:row>
    <x:row r="483" ht="34.5" customHeight="1">
      <x:c r="A483" s="19" t="str">
        <x:v>grape_small</x:v>
      </x:c>
      <x:c r="B483" s="18" t="n">
        <x:v>7</x:v>
      </x:c>
      <x:c r="C483" s="18" t="n">
        <x:v>3</x:v>
      </x:c>
      <x:c r="D483" s="19" t="str">
        <x:v>legacy</x:v>
      </x:c>
      <x:c r="E483" s="19" t="str">
        <x:v>每瓶一次；每配方12次</x:v>
      </x:c>
      <x:c r="F483" s="19" t="str">
        <x:v>LevelSensor</x:v>
      </x:c>
      <x:c r="G483" s="19" t="str"/>
      <x:c r="H483" s="19" t="str">
        <x:v>04 00 39 00 01</x:v>
      </x:c>
      <x:c r="I483" s="19" t="str">
        <x:v>Check level 2</x:v>
      </x:c>
      <x:c r="J483" s="19" t="str">
        <x:v>每50ms；截止3000ms</x:v>
      </x:c>
      <x:c r="K483" s="19" t="str">
        <x:v>04 02 00 01</x:v>
      </x:c>
      <x:c r="L483" s="19" t="str">
        <x:v>RECHECK2_FAIL</x:v>
      </x:c>
      <x:c r="M483" s="19" t="str">
        <x:v>candidate:layered/L3_group/step_07_level_recheck.group.json</x:v>
      </x:c>
    </x:row>
    <x:row r="484" ht="34.5" customHeight="1">
      <x:c r="A484" s="15" t="str">
        <x:v>grape_small</x:v>
      </x:c>
      <x:c r="B484" s="17" t="n">
        <x:v>7</x:v>
      </x:c>
      <x:c r="C484" s="17" t="n">
        <x:v>4</x:v>
      </x:c>
      <x:c r="D484" s="15" t="str">
        <x:v>legacy</x:v>
      </x:c>
      <x:c r="E484" s="15" t="str">
        <x:v>每瓶一次；每配方12次</x:v>
      </x:c>
      <x:c r="F484" s="15" t="str">
        <x:v>LevelSensor</x:v>
      </x:c>
      <x:c r="G484" s="15" t="str"/>
      <x:c r="H484" s="15" t="str">
        <x:v>04 00 3A 00 01</x:v>
      </x:c>
      <x:c r="I484" s="15" t="str">
        <x:v>Check level 3</x:v>
      </x:c>
      <x:c r="J484" s="15" t="str">
        <x:v>每50ms；截止3000ms</x:v>
      </x:c>
      <x:c r="K484" s="15" t="str">
        <x:v>04 02 00 01</x:v>
      </x:c>
      <x:c r="L484" s="15" t="str">
        <x:v>RECHECK3_FAIL</x:v>
      </x:c>
      <x:c r="M484" s="15" t="str">
        <x:v>candidate:layered/L3_group/step_07_level_recheck.group.json</x:v>
      </x:c>
    </x:row>
    <x:row r="485" ht="34.5" customHeight="1">
      <x:c r="A485" s="19" t="str">
        <x:v>grape_small</x:v>
      </x:c>
      <x:c r="B485" s="18" t="n">
        <x:v>7</x:v>
      </x:c>
      <x:c r="C485" s="18" t="n">
        <x:v>5</x:v>
      </x:c>
      <x:c r="D485" s="19" t="str">
        <x:v>legacy</x:v>
      </x:c>
      <x:c r="E485" s="19" t="str">
        <x:v>每瓶一次；每配方12次</x:v>
      </x:c>
      <x:c r="F485" s="19" t="str">
        <x:v>LevelSensor</x:v>
      </x:c>
      <x:c r="G485" s="19" t="str"/>
      <x:c r="H485" s="19" t="str">
        <x:v>04 00 3B 00 01</x:v>
      </x:c>
      <x:c r="I485" s="19" t="str">
        <x:v>Check level 4</x:v>
      </x:c>
      <x:c r="J485" s="19" t="str">
        <x:v>每50ms；截止3000ms</x:v>
      </x:c>
      <x:c r="K485" s="19" t="str">
        <x:v>04 02 00 01</x:v>
      </x:c>
      <x:c r="L485" s="19" t="str">
        <x:v>RECHECK4_FAIL</x:v>
      </x:c>
      <x:c r="M485" s="19" t="str">
        <x:v>candidate:layered/L3_group/step_07_level_recheck.group.json</x:v>
      </x:c>
    </x:row>
    <x:row r="486" ht="34.5" customHeight="1">
      <x:c r="A486" s="15" t="str">
        <x:v>grape_small</x:v>
      </x:c>
      <x:c r="B486" s="17" t="n">
        <x:v>7</x:v>
      </x:c>
      <x:c r="C486" s="17" t="n">
        <x:v>6</x:v>
      </x:c>
      <x:c r="D486" s="15" t="str">
        <x:v>legacy</x:v>
      </x:c>
      <x:c r="E486" s="15" t="str">
        <x:v>每瓶一次；每配方12次</x:v>
      </x:c>
      <x:c r="F486" s="15" t="str">
        <x:v>LevelSensor</x:v>
      </x:c>
      <x:c r="G486" s="15" t="str"/>
      <x:c r="H486" s="15" t="str">
        <x:v>04 00 38 00 01；解码={"cacheStartByte":2,"cacheLength":2,"cacheEndian":"big","valueType":"uint16"}</x:v>
      </x:c>
      <x:c r="I486" s="15" t="str">
        <x:v>缓存lv1</x:v>
      </x:c>
      <x:c r="J486" s="15" t="str"/>
      <x:c r="K486" s="15" t="str"/>
      <x:c r="L486" s="15" t="str"/>
      <x:c r="M486" s="15" t="str">
        <x:v>candidate:layered/L3_group/step_07_level_recheck.group.json</x:v>
      </x:c>
    </x:row>
    <x:row r="487" ht="34.5" customHeight="1">
      <x:c r="A487" s="19" t="str">
        <x:v>grape_small</x:v>
      </x:c>
      <x:c r="B487" s="18" t="n">
        <x:v>7</x:v>
      </x:c>
      <x:c r="C487" s="18" t="n">
        <x:v>7</x:v>
      </x:c>
      <x:c r="D487" s="19" t="str">
        <x:v>legacy</x:v>
      </x:c>
      <x:c r="E487" s="19" t="str">
        <x:v>每瓶一次；每配方12次</x:v>
      </x:c>
      <x:c r="F487" s="19" t="str">
        <x:v>LevelSensor</x:v>
      </x:c>
      <x:c r="G487" s="19" t="str"/>
      <x:c r="H487" s="19" t="str">
        <x:v>04 00 39 00 01；解码={"cacheStartByte":2,"cacheLength":2,"cacheEndian":"big","valueType":"uint16"}</x:v>
      </x:c>
      <x:c r="I487" s="19" t="str">
        <x:v>缓存lv2</x:v>
      </x:c>
      <x:c r="J487" s="19" t="str"/>
      <x:c r="K487" s="19" t="str"/>
      <x:c r="L487" s="19" t="str"/>
      <x:c r="M487" s="19" t="str">
        <x:v>candidate:layered/L3_group/step_07_level_recheck.group.json</x:v>
      </x:c>
    </x:row>
    <x:row r="488" ht="34.5" customHeight="1">
      <x:c r="A488" s="15" t="str">
        <x:v>grape_small</x:v>
      </x:c>
      <x:c r="B488" s="17" t="n">
        <x:v>7</x:v>
      </x:c>
      <x:c r="C488" s="17" t="n">
        <x:v>8</x:v>
      </x:c>
      <x:c r="D488" s="15" t="str">
        <x:v>legacy</x:v>
      </x:c>
      <x:c r="E488" s="15" t="str">
        <x:v>每瓶一次；每配方12次</x:v>
      </x:c>
      <x:c r="F488" s="15" t="str">
        <x:v>LevelSensor</x:v>
      </x:c>
      <x:c r="G488" s="15" t="str"/>
      <x:c r="H488" s="15" t="str">
        <x:v>04 00 3A 00 01；解码={"cacheStartByte":2,"cacheLength":2,"cacheEndian":"big","valueType":"uint16"}</x:v>
      </x:c>
      <x:c r="I488" s="15" t="str">
        <x:v>缓存lv3</x:v>
      </x:c>
      <x:c r="J488" s="15" t="str"/>
      <x:c r="K488" s="15" t="str"/>
      <x:c r="L488" s="15" t="str"/>
      <x:c r="M488" s="15" t="str">
        <x:v>candidate:layered/L3_group/step_07_level_recheck.group.json</x:v>
      </x:c>
    </x:row>
    <x:row r="489" ht="34.5" customHeight="1">
      <x:c r="A489" s="19" t="str">
        <x:v>grape_small</x:v>
      </x:c>
      <x:c r="B489" s="18" t="n">
        <x:v>7</x:v>
      </x:c>
      <x:c r="C489" s="18" t="n">
        <x:v>9</x:v>
      </x:c>
      <x:c r="D489" s="19" t="str">
        <x:v>legacy</x:v>
      </x:c>
      <x:c r="E489" s="19" t="str">
        <x:v>每瓶一次；每配方12次</x:v>
      </x:c>
      <x:c r="F489" s="19" t="str">
        <x:v>LevelSensor</x:v>
      </x:c>
      <x:c r="G489" s="19" t="str"/>
      <x:c r="H489" s="19" t="str">
        <x:v>04 00 3B 00 01；解码={"cacheStartByte":2,"cacheLength":2,"cacheEndian":"big","valueType":"uint16"}</x:v>
      </x:c>
      <x:c r="I489" s="19" t="str">
        <x:v>缓存lv4</x:v>
      </x:c>
      <x:c r="J489" s="19" t="str"/>
      <x:c r="K489" s="19" t="str"/>
      <x:c r="L489" s="19" t="str"/>
      <x:c r="M489" s="19" t="str">
        <x:v>candidate:layered/L3_group/step_07_level_recheck.group.json</x:v>
      </x:c>
    </x:row>
    <x:row r="490" ht="34.5" customHeight="1">
      <x:c r="A490" s="15" t="str">
        <x:v>grape_small</x:v>
      </x:c>
      <x:c r="B490" s="17" t="n">
        <x:v>7</x:v>
      </x:c>
      <x:c r="C490" s="17" t="n">
        <x:v>10</x:v>
      </x:c>
      <x:c r="D490" s="15" t="str">
        <x:v>legacy</x:v>
      </x:c>
      <x:c r="E490" s="15" t="str">
        <x:v>每瓶一次；每配方12次</x:v>
      </x:c>
      <x:c r="F490" s="15" t="str"/>
      <x:c r="G490" s="15" t="str"/>
      <x:c r="H490" s="15" t="str">
        <x:v>CheckState</x:v>
      </x:c>
      <x:c r="I490" s="15" t="str">
        <x:v>更新UI=qualified</x:v>
      </x:c>
      <x:c r="J490" s="15" t="str"/>
      <x:c r="K490" s="15" t="str"/>
      <x:c r="L490" s="15" t="str"/>
      <x:c r="M490" s="15" t="str">
        <x:v>candidate:layered/L3_group/step_07_level_recheck.group.json</x:v>
      </x:c>
    </x:row>
    <x:row r="491" ht="22.5" customHeight="1">
      <x:c r="A491" s="19" t="str">
        <x:v>grape_small</x:v>
      </x:c>
      <x:c r="B491" s="18" t="n">
        <x:v>8</x:v>
      </x:c>
      <x:c r="C491" s="18" t="n">
        <x:v>1</x:v>
      </x:c>
      <x:c r="D491" s="19" t="str">
        <x:v>legacy</x:v>
      </x:c>
      <x:c r="E491" s="19" t="str">
        <x:v>每瓶一次；每配方12次</x:v>
      </x:c>
      <x:c r="F491" s="19" t="str"/>
      <x:c r="G491" s="19" t="str"/>
      <x:c r="H491" s="19" t="str">
        <x:v>stage</x:v>
      </x:c>
      <x:c r="I491" s="19" t="str">
        <x:v>更新UI=08</x:v>
      </x:c>
      <x:c r="J491" s="19" t="str"/>
      <x:c r="K491" s="19" t="str"/>
      <x:c r="L491" s="19" t="str"/>
      <x:c r="M491" s="19" t="str">
        <x:v>candidate:layered/L3_group/step_08_capping.group.json</x:v>
      </x:c>
    </x:row>
    <x:row r="492" ht="22.5" customHeight="1">
      <x:c r="A492" s="15" t="str">
        <x:v>grape_small</x:v>
      </x:c>
      <x:c r="B492" s="17" t="n">
        <x:v>8</x:v>
      </x:c>
      <x:c r="C492" s="17" t="n">
        <x:v>2</x:v>
      </x:c>
      <x:c r="D492" s="15" t="str">
        <x:v>move</x:v>
      </x:c>
      <x:c r="E492" s="15" t="str">
        <x:v>每瓶一次；每配方12次</x:v>
      </x:c>
      <x:c r="F492" s="15" t="str">
        <x:v>X / Y1 / Y2 / Z</x:v>
      </x:c>
      <x:c r="G492" s="15" t="n">
        <x:v>47</x:v>
      </x:c>
      <x:c r="H492" s="15" t="str">
        <x:v>fill_entry</x:v>
      </x:c>
      <x:c r="I492" s="15" t="str">
        <x:v>移动至 grape small fill entry；PR=(6,12,12,1)；仅变化轴触发</x:v>
      </x:c>
      <x:c r="J492" s="15" t="str">
        <x:v>四电机各20ms轮询/4000ms截止</x:v>
      </x:c>
      <x:c r="K492" s="15" t="str">
        <x:v>全部就绪；缓存四位置；UI使用X/Y1/Z</x:v>
      </x:c>
      <x:c r="L492" s="15" t="str">
        <x:v>MOTION_TIMEOUT</x:v>
      </x:c>
      <x:c r="M492" s="15" t="str">
        <x:v>candidate:layered/L3_group/step_08_capping.group.json</x:v>
      </x:c>
    </x:row>
    <x:row r="493" ht="22.5" customHeight="1">
      <x:c r="A493" s="19" t="str">
        <x:v>grape_small</x:v>
      </x:c>
      <x:c r="B493" s="18" t="n">
        <x:v>8</x:v>
      </x:c>
      <x:c r="C493" s="18" t="n">
        <x:v>3</x:v>
      </x:c>
      <x:c r="D493" s="19" t="str">
        <x:v>move</x:v>
      </x:c>
      <x:c r="E493" s="19" t="str">
        <x:v>每瓶一次；每配方12次</x:v>
      </x:c>
      <x:c r="F493" s="19" t="str">
        <x:v>X / Y1 / Y2 / Z</x:v>
      </x:c>
      <x:c r="G493" s="19" t="n">
        <x:v>39</x:v>
      </x:c>
      <x:c r="H493" s="19" t="str">
        <x:v>closure_entry</x:v>
      </x:c>
      <x:c r="I493" s="19" t="str">
        <x:v>移动至 small closure entry；PR=(9,6,6,1)；仅变化轴触发</x:v>
      </x:c>
      <x:c r="J493" s="19" t="str">
        <x:v>四电机各20ms轮询/4000ms截止</x:v>
      </x:c>
      <x:c r="K493" s="19" t="str">
        <x:v>全部就绪；缓存四位置；UI使用X/Y1/Z</x:v>
      </x:c>
      <x:c r="L493" s="19" t="str">
        <x:v>MOTION_TIMEOUT</x:v>
      </x:c>
      <x:c r="M493" s="19" t="str">
        <x:v>candidate:layered/L3_group/step_08_capping.group.json</x:v>
      </x:c>
    </x:row>
    <x:row r="494" ht="22.5" customHeight="1">
      <x:c r="A494" s="15" t="str">
        <x:v>grape_small</x:v>
      </x:c>
      <x:c r="B494" s="17" t="n">
        <x:v>8</x:v>
      </x:c>
      <x:c r="C494" s="17" t="n">
        <x:v>4</x:v>
      </x:c>
      <x:c r="D494" s="15" t="str">
        <x:v>move</x:v>
      </x:c>
      <x:c r="E494" s="15" t="str">
        <x:v>每瓶一次；每配方12次</x:v>
      </x:c>
      <x:c r="F494" s="15" t="str">
        <x:v>X / Y1 / Y2 / Z</x:v>
      </x:c>
      <x:c r="G494" s="15" t="n">
        <x:v>40</x:v>
      </x:c>
      <x:c r="H494" s="15" t="str">
        <x:v>closure_work</x:v>
      </x:c>
      <x:c r="I494" s="15" t="str">
        <x:v>移动至 small closure work；PR=(9,6,6,4)；仅变化轴触发</x:v>
      </x:c>
      <x:c r="J494" s="15" t="str">
        <x:v>四电机各20ms轮询/4000ms截止</x:v>
      </x:c>
      <x:c r="K494" s="15" t="str">
        <x:v>全部就绪；缓存四位置；UI使用X/Y1/Z</x:v>
      </x:c>
      <x:c r="L494" s="15" t="str">
        <x:v>MOTION_TIMEOUT</x:v>
      </x:c>
      <x:c r="M494" s="15" t="str">
        <x:v>candidate:layered/L3_group/step_08_capping.group.json</x:v>
      </x:c>
    </x:row>
    <x:row r="495" ht="22.5" customHeight="1">
      <x:c r="A495" s="19" t="str">
        <x:v>grape_small</x:v>
      </x:c>
      <x:c r="B495" s="18" t="n">
        <x:v>8</x:v>
      </x:c>
      <x:c r="C495" s="18" t="n">
        <x:v>5</x:v>
      </x:c>
      <x:c r="D495" s="19" t="str">
        <x:v>coil</x:v>
      </x:c>
      <x:c r="E495" s="19" t="str">
        <x:v>每瓶一次；每配方12次</x:v>
      </x:c>
      <x:c r="F495" s="19" t="str">
        <x:v>CapFeeder</x:v>
      </x:c>
      <x:c r="G495" s="19" t="str"/>
      <x:c r="H495" s="19" t="str">
        <x:v>FC05 0x0000</x:v>
      </x:c>
      <x:c r="I495" s="19" t="str">
        <x:v>开启</x:v>
      </x:c>
      <x:c r="J495" s="19" t="str"/>
      <x:c r="K495" s="19" t="str">
        <x:v>写入响应回显</x:v>
      </x:c>
      <x:c r="L495" s="19" t="str"/>
      <x:c r="M495" s="19" t="str">
        <x:v>candidate:layered/L3_group/step_08_capping.group.json</x:v>
      </x:c>
    </x:row>
    <x:row r="496" ht="22.5" customHeight="1">
      <x:c r="A496" s="15" t="str">
        <x:v>grape_small</x:v>
      </x:c>
      <x:c r="B496" s="17" t="n">
        <x:v>8</x:v>
      </x:c>
      <x:c r="C496" s="17" t="n">
        <x:v>6</x:v>
      </x:c>
      <x:c r="D496" s="15" t="str">
        <x:v>trigger</x:v>
      </x:c>
      <x:c r="E496" s="15" t="str">
        <x:v>每瓶一次；每配方12次</x:v>
      </x:c>
      <x:c r="F496" s="15" t="str">
        <x:v>Closure</x:v>
      </x:c>
      <x:c r="G496" s="15" t="str"/>
      <x:c r="H496" s="15" t="str">
        <x:v>FC06 0x6002=19</x:v>
      </x:c>
      <x:c r="I496" s="15" t="str">
        <x:v>触发预设PR3</x:v>
      </x:c>
      <x:c r="J496" s="15" t="str"/>
      <x:c r="K496" s="15" t="str">
        <x:v>写入响应回显</x:v>
      </x:c>
      <x:c r="L496" s="15" t="str"/>
      <x:c r="M496" s="15" t="str">
        <x:v>candidate:layered/L3_group/step_08_capping.group.json</x:v>
      </x:c>
    </x:row>
    <x:row r="497" ht="22.5" customHeight="1">
      <x:c r="A497" s="19" t="str">
        <x:v>grape_small</x:v>
      </x:c>
      <x:c r="B497" s="18" t="n">
        <x:v>8</x:v>
      </x:c>
      <x:c r="C497" s="18" t="n">
        <x:v>7</x:v>
      </x:c>
      <x:c r="D497" s="19" t="str">
        <x:v>ready</x:v>
      </x:c>
      <x:c r="E497" s="19" t="str">
        <x:v>每瓶一次；每配方12次</x:v>
      </x:c>
      <x:c r="F497" s="19" t="str">
        <x:v>Closure</x:v>
      </x:c>
      <x:c r="G497" s="19" t="str"/>
      <x:c r="H497" s="19" t="str">
        <x:v>FC04 0x0000</x:v>
      </x:c>
      <x:c r="I497" s="19" t="str">
        <x:v>等待设备完成</x:v>
      </x:c>
      <x:c r="J497" s="19" t="str">
        <x:v>每20ms；截止5000ms</x:v>
      </x:c>
      <x:c r="K497" s="19" t="str">
        <x:v>04 02 00 01</x:v>
      </x:c>
      <x:c r="L497" s="19" t="str">
        <x:v>CLOSURE_TIMEOUT</x:v>
      </x:c>
      <x:c r="M497" s="19" t="str">
        <x:v>candidate:layered/L3_group/step_08_capping.group.json</x:v>
      </x:c>
    </x:row>
    <x:row r="498" ht="22.5" customHeight="1">
      <x:c r="A498" s="15" t="str">
        <x:v>grape_small</x:v>
      </x:c>
      <x:c r="B498" s="17" t="n">
        <x:v>8</x:v>
      </x:c>
      <x:c r="C498" s="17" t="n">
        <x:v>8</x:v>
      </x:c>
      <x:c r="D498" s="15" t="str">
        <x:v>legacy</x:v>
      </x:c>
      <x:c r="E498" s="15" t="str">
        <x:v>每瓶一次；每配方12次</x:v>
      </x:c>
      <x:c r="F498" s="15" t="str">
        <x:v>Relay</x:v>
      </x:c>
      <x:c r="G498" s="15" t="str"/>
      <x:c r="H498" s="15" t="str">
        <x:v>05 00 0B FF 00</x:v>
      </x:c>
      <x:c r="I498" s="15" t="str">
        <x:v>Capping machine start</x:v>
      </x:c>
      <x:c r="J498" s="15" t="str"/>
      <x:c r="K498" s="15" t="str">
        <x:v>响应回显=05 00 0B FF 00</x:v>
      </x:c>
      <x:c r="L498" s="15" t="str"/>
      <x:c r="M498" s="15" t="str">
        <x:v>candidate:layered/L3_group/step_08_capping.group.json</x:v>
      </x:c>
    </x:row>
    <x:row r="499" ht="22.5" customHeight="1">
      <x:c r="A499" s="19" t="str">
        <x:v>grape_small</x:v>
      </x:c>
      <x:c r="B499" s="18" t="n">
        <x:v>8</x:v>
      </x:c>
      <x:c r="C499" s="18" t="n">
        <x:v>9</x:v>
      </x:c>
      <x:c r="D499" s="19" t="str">
        <x:v>legacy</x:v>
      </x:c>
      <x:c r="E499" s="19" t="str">
        <x:v>每瓶一次；每配方12次</x:v>
      </x:c>
      <x:c r="F499" s="19" t="str"/>
      <x:c r="G499" s="19" t="str"/>
      <x:c r="H499" s="19" t="str"/>
      <x:c r="I499" s="19" t="str">
        <x:v>显式等待(ms)</x:v>
      </x:c>
      <x:c r="J499" s="19" t="n">
        <x:v>3000</x:v>
      </x:c>
      <x:c r="K499" s="19" t="str"/>
      <x:c r="L499" s="19" t="str"/>
      <x:c r="M499" s="19" t="str">
        <x:v>candidate:layered/L3_group/step_08_capping.group.json</x:v>
      </x:c>
    </x:row>
    <x:row r="500" ht="34.5" customHeight="1">
      <x:c r="A500" s="15" t="str">
        <x:v>grape_small</x:v>
      </x:c>
      <x:c r="B500" s="17" t="n">
        <x:v>8</x:v>
      </x:c>
      <x:c r="C500" s="17" t="n">
        <x:v>10</x:v>
      </x:c>
      <x:c r="D500" s="15" t="str">
        <x:v>legacy</x:v>
      </x:c>
      <x:c r="E500" s="15" t="str">
        <x:v>每瓶一次；每配方12次</x:v>
      </x:c>
      <x:c r="F500" s="15" t="str">
        <x:v>Torque</x:v>
      </x:c>
      <x:c r="G500" s="15" t="str"/>
      <x:c r="H500" s="15" t="str">
        <x:v>03 00 30 00 02；解码={"valueStartByte":2,"valueLength":4,"valueEndian":"little","valueType":"float"}</x:v>
      </x:c>
      <x:c r="I500" s="15" t="str">
        <x:v>check Cappingtorque&gt;=2.0N·m</x:v>
      </x:c>
      <x:c r="J500" s="15" t="str"/>
      <x:c r="K500" s="15" t="str">
        <x:v>greaterOrEqual 2.0</x:v>
      </x:c>
      <x:c r="L500" s="15" t="str">
        <x:v>TORQUE_LOW</x:v>
      </x:c>
      <x:c r="M500" s="15" t="str">
        <x:v>candidate:layered/L3_group/step_08_capping.group.json</x:v>
      </x:c>
    </x:row>
    <x:row r="501" ht="22.5" customHeight="1">
      <x:c r="A501" s="19" t="str">
        <x:v>grape_small</x:v>
      </x:c>
      <x:c r="B501" s="18" t="n">
        <x:v>8</x:v>
      </x:c>
      <x:c r="C501" s="18" t="n">
        <x:v>11</x:v>
      </x:c>
      <x:c r="D501" s="19" t="str">
        <x:v>legacy</x:v>
      </x:c>
      <x:c r="E501" s="19" t="str">
        <x:v>每瓶一次；每配方12次</x:v>
      </x:c>
      <x:c r="F501" s="19" t="str">
        <x:v>Relay</x:v>
      </x:c>
      <x:c r="G501" s="19" t="str"/>
      <x:c r="H501" s="19" t="str">
        <x:v>05 00 0B 00 00</x:v>
      </x:c>
      <x:c r="I501" s="19" t="str">
        <x:v>Capping machine stop</x:v>
      </x:c>
      <x:c r="J501" s="19" t="str"/>
      <x:c r="K501" s="19" t="str">
        <x:v>响应回显=05 00 0B 00 00</x:v>
      </x:c>
      <x:c r="L501" s="19" t="str"/>
      <x:c r="M501" s="19" t="str">
        <x:v>candidate:layered/L3_group/step_08_capping.group.json</x:v>
      </x:c>
    </x:row>
    <x:row r="502" ht="22.5" customHeight="1">
      <x:c r="A502" s="15" t="str">
        <x:v>grape_small</x:v>
      </x:c>
      <x:c r="B502" s="17" t="n">
        <x:v>8</x:v>
      </x:c>
      <x:c r="C502" s="17" t="n">
        <x:v>12</x:v>
      </x:c>
      <x:c r="D502" s="15" t="str">
        <x:v>legacy</x:v>
      </x:c>
      <x:c r="E502" s="15" t="str">
        <x:v>每瓶一次；每配方12次</x:v>
      </x:c>
      <x:c r="F502" s="15" t="str">
        <x:v>BottleSensor</x:v>
      </x:c>
      <x:c r="G502" s="15" t="str"/>
      <x:c r="H502" s="15" t="str">
        <x:v>04 00 46 00 01</x:v>
      </x:c>
      <x:c r="I502" s="15" t="str">
        <x:v>check Cap checksensor</x:v>
      </x:c>
      <x:c r="J502" s="15" t="str">
        <x:v>每50ms；截止3000ms</x:v>
      </x:c>
      <x:c r="K502" s="15" t="str">
        <x:v>04 02 00 01</x:v>
      </x:c>
      <x:c r="L502" s="15" t="str">
        <x:v>CAP_TIMEOUT</x:v>
      </x:c>
      <x:c r="M502" s="15" t="str">
        <x:v>candidate:layered/L3_group/step_08_capping.group.json</x:v>
      </x:c>
    </x:row>
    <x:row r="503" ht="34.5" customHeight="1">
      <x:c r="A503" s="19" t="str">
        <x:v>grape_small</x:v>
      </x:c>
      <x:c r="B503" s="18" t="n">
        <x:v>8</x:v>
      </x:c>
      <x:c r="C503" s="18" t="n">
        <x:v>13</x:v>
      </x:c>
      <x:c r="D503" s="19" t="str">
        <x:v>legacy</x:v>
      </x:c>
      <x:c r="E503" s="19" t="str">
        <x:v>每瓶一次；每配方12次</x:v>
      </x:c>
      <x:c r="F503" s="19" t="str">
        <x:v>Torque</x:v>
      </x:c>
      <x:c r="G503" s="19" t="str"/>
      <x:c r="H503" s="19" t="str">
        <x:v>03 00 30 00 02；解码={"cacheStartByte":2,"cacheLength":4,"cacheEndian":"little","valueType":"float"}</x:v>
      </x:c>
      <x:c r="I503" s="19" t="str">
        <x:v>缓存torqueValue</x:v>
      </x:c>
      <x:c r="J503" s="19" t="str"/>
      <x:c r="K503" s="19" t="str"/>
      <x:c r="L503" s="19" t="str"/>
      <x:c r="M503" s="19" t="str">
        <x:v>candidate:layered/L3_group/step_08_capping.group.json</x:v>
      </x:c>
    </x:row>
    <x:row r="504" ht="22.5" customHeight="1">
      <x:c r="A504" s="15" t="str">
        <x:v>grape_small</x:v>
      </x:c>
      <x:c r="B504" s="17" t="n">
        <x:v>8</x:v>
      </x:c>
      <x:c r="C504" s="17" t="n">
        <x:v>14</x:v>
      </x:c>
      <x:c r="D504" s="15" t="str">
        <x:v>legacy</x:v>
      </x:c>
      <x:c r="E504" s="15" t="str">
        <x:v>每瓶一次；每配方12次</x:v>
      </x:c>
      <x:c r="F504" s="15" t="str"/>
      <x:c r="G504" s="15" t="str"/>
      <x:c r="H504" s="15" t="str">
        <x:v>CapState</x:v>
      </x:c>
      <x:c r="I504" s="15" t="str">
        <x:v>更新UI=done</x:v>
      </x:c>
      <x:c r="J504" s="15" t="str"/>
      <x:c r="K504" s="15" t="str"/>
      <x:c r="L504" s="15" t="str"/>
      <x:c r="M504" s="15" t="str">
        <x:v>candidate:layered/L3_group/step_08_capping.group.json</x:v>
      </x:c>
    </x:row>
    <x:row r="505" ht="22.5" customHeight="1">
      <x:c r="A505" s="19" t="str">
        <x:v>grape_small</x:v>
      </x:c>
      <x:c r="B505" s="18" t="n">
        <x:v>8</x:v>
      </x:c>
      <x:c r="C505" s="18" t="n">
        <x:v>15</x:v>
      </x:c>
      <x:c r="D505" s="19" t="str">
        <x:v>coil</x:v>
      </x:c>
      <x:c r="E505" s="19" t="str">
        <x:v>每瓶一次；每配方12次</x:v>
      </x:c>
      <x:c r="F505" s="19" t="str">
        <x:v>CapFeeder</x:v>
      </x:c>
      <x:c r="G505" s="19" t="str"/>
      <x:c r="H505" s="19" t="str">
        <x:v>FC05 0x0000</x:v>
      </x:c>
      <x:c r="I505" s="19" t="str">
        <x:v>关闭</x:v>
      </x:c>
      <x:c r="J505" s="19" t="str"/>
      <x:c r="K505" s="19" t="str">
        <x:v>写入响应回显</x:v>
      </x:c>
      <x:c r="L505" s="19" t="str"/>
      <x:c r="M505" s="19" t="str">
        <x:v>candidate:layered/L3_group/step_08_capping.group.json</x:v>
      </x:c>
    </x:row>
    <x:row r="506" ht="22.5" customHeight="1">
      <x:c r="A506" s="15" t="str">
        <x:v>grape_small</x:v>
      </x:c>
      <x:c r="B506" s="17" t="n">
        <x:v>8</x:v>
      </x:c>
      <x:c r="C506" s="17" t="n">
        <x:v>16</x:v>
      </x:c>
      <x:c r="D506" s="15" t="str">
        <x:v>move</x:v>
      </x:c>
      <x:c r="E506" s="15" t="str">
        <x:v>每瓶一次；每配方12次</x:v>
      </x:c>
      <x:c r="F506" s="15" t="str">
        <x:v>X / Y1 / Y2 / Z</x:v>
      </x:c>
      <x:c r="G506" s="15" t="n">
        <x:v>39</x:v>
      </x:c>
      <x:c r="H506" s="15" t="str">
        <x:v>closure_entry</x:v>
      </x:c>
      <x:c r="I506" s="15" t="str">
        <x:v>移动至 small closure entry；PR=(9,6,6,1)；仅变化轴触发</x:v>
      </x:c>
      <x:c r="J506" s="15" t="str">
        <x:v>四电机各20ms轮询/4000ms截止</x:v>
      </x:c>
      <x:c r="K506" s="15" t="str">
        <x:v>全部就绪；缓存四位置；UI使用X/Y1/Z</x:v>
      </x:c>
      <x:c r="L506" s="15" t="str">
        <x:v>MOTION_TIMEOUT</x:v>
      </x:c>
      <x:c r="M506" s="15" t="str">
        <x:v>candidate:layered/L3_group/step_08_capping.group.json</x:v>
      </x:c>
    </x:row>
    <x:row r="507" ht="34.5" customHeight="1">
      <x:c r="A507" s="19" t="str">
        <x:v>grape_small</x:v>
      </x:c>
      <x:c r="B507" s="18" t="n">
        <x:v>9</x:v>
      </x:c>
      <x:c r="C507" s="18" t="n">
        <x:v>1</x:v>
      </x:c>
      <x:c r="D507" s="19" t="str">
        <x:v>legacy</x:v>
      </x:c>
      <x:c r="E507" s="19" t="str">
        <x:v>每瓶一次；每配方12次</x:v>
      </x:c>
      <x:c r="F507" s="19" t="str"/>
      <x:c r="G507" s="19" t="str"/>
      <x:c r="H507" s="19" t="str">
        <x:v>stage</x:v>
      </x:c>
      <x:c r="I507" s="19" t="str">
        <x:v>更新UI=09</x:v>
      </x:c>
      <x:c r="J507" s="19" t="str"/>
      <x:c r="K507" s="19" t="str"/>
      <x:c r="L507" s="19" t="str"/>
      <x:c r="M507" s="19" t="str">
        <x:v>candidate:layered/L3_group/step_09_coding_labeling.group.json</x:v>
      </x:c>
    </x:row>
    <x:row r="508" ht="34.5" customHeight="1">
      <x:c r="A508" s="15" t="str">
        <x:v>grape_small</x:v>
      </x:c>
      <x:c r="B508" s="17" t="n">
        <x:v>9</x:v>
      </x:c>
      <x:c r="C508" s="17" t="n">
        <x:v>2</x:v>
      </x:c>
      <x:c r="D508" s="15" t="str">
        <x:v>move</x:v>
      </x:c>
      <x:c r="E508" s="15" t="str">
        <x:v>每瓶一次；每配方12次</x:v>
      </x:c>
      <x:c r="F508" s="15" t="str">
        <x:v>X / Y1 / Y2 / Z</x:v>
      </x:c>
      <x:c r="G508" s="15" t="n">
        <x:v>41</x:v>
      </x:c>
      <x:c r="H508" s="15" t="str">
        <x:v>code_entry</x:v>
      </x:c>
      <x:c r="I508" s="15" t="str">
        <x:v>移动至 small code entry；PR=(14,3,3,1)；仅变化轴触发</x:v>
      </x:c>
      <x:c r="J508" s="15" t="str">
        <x:v>四电机各20ms轮询/4000ms截止</x:v>
      </x:c>
      <x:c r="K508" s="15" t="str">
        <x:v>全部就绪；缓存四位置；UI使用X/Y1/Z</x:v>
      </x:c>
      <x:c r="L508" s="15" t="str">
        <x:v>MOTION_TIMEOUT</x:v>
      </x:c>
      <x:c r="M508" s="15" t="str">
        <x:v>candidate:layered/L3_group/step_09_coding_labeling.group.json</x:v>
      </x:c>
    </x:row>
    <x:row r="509" ht="34.5" customHeight="1">
      <x:c r="A509" s="19" t="str">
        <x:v>grape_small</x:v>
      </x:c>
      <x:c r="B509" s="18" t="n">
        <x:v>9</x:v>
      </x:c>
      <x:c r="C509" s="18" t="n">
        <x:v>3</x:v>
      </x:c>
      <x:c r="D509" s="19" t="str">
        <x:v>move</x:v>
      </x:c>
      <x:c r="E509" s="19" t="str">
        <x:v>每瓶一次；每配方12次</x:v>
      </x:c>
      <x:c r="F509" s="19" t="str">
        <x:v>X / Y1 / Y2 / Z</x:v>
      </x:c>
      <x:c r="G509" s="19" t="n">
        <x:v>42</x:v>
      </x:c>
      <x:c r="H509" s="19" t="str">
        <x:v>code_work</x:v>
      </x:c>
      <x:c r="I509" s="19" t="str">
        <x:v>移动至 small code work；PR=(14,3,3,4)；仅变化轴触发</x:v>
      </x:c>
      <x:c r="J509" s="19" t="str">
        <x:v>四电机各20ms轮询/4000ms截止</x:v>
      </x:c>
      <x:c r="K509" s="19" t="str">
        <x:v>全部就绪；缓存四位置；UI使用X/Y1/Z</x:v>
      </x:c>
      <x:c r="L509" s="19" t="str">
        <x:v>MOTION_TIMEOUT</x:v>
      </x:c>
      <x:c r="M509" s="19" t="str">
        <x:v>candidate:layered/L3_group/step_09_coding_labeling.group.json</x:v>
      </x:c>
    </x:row>
    <x:row r="510" ht="34.5" customHeight="1">
      <x:c r="A510" s="15" t="str">
        <x:v>grape_small</x:v>
      </x:c>
      <x:c r="B510" s="17" t="n">
        <x:v>9</x:v>
      </x:c>
      <x:c r="C510" s="17" t="n">
        <x:v>4</x:v>
      </x:c>
      <x:c r="D510" s="15" t="str">
        <x:v>legacy</x:v>
      </x:c>
      <x:c r="E510" s="15" t="str">
        <x:v>每瓶一次；每配方12次</x:v>
      </x:c>
      <x:c r="F510" s="15" t="str">
        <x:v>Relay</x:v>
      </x:c>
      <x:c r="G510" s="15" t="str"/>
      <x:c r="H510" s="15" t="str">
        <x:v>05 00 0C FF 00</x:v>
      </x:c>
      <x:c r="I510" s="15" t="str">
        <x:v>Coder mark</x:v>
      </x:c>
      <x:c r="J510" s="15" t="str"/>
      <x:c r="K510" s="15" t="str">
        <x:v>响应回显=05 00 0C FF 00</x:v>
      </x:c>
      <x:c r="L510" s="15" t="str"/>
      <x:c r="M510" s="15" t="str">
        <x:v>candidate:layered/L3_group/step_09_coding_labeling.group.json</x:v>
      </x:c>
    </x:row>
    <x:row r="511" ht="34.5" customHeight="1">
      <x:c r="A511" s="19" t="str">
        <x:v>grape_small</x:v>
      </x:c>
      <x:c r="B511" s="18" t="n">
        <x:v>9</x:v>
      </x:c>
      <x:c r="C511" s="18" t="n">
        <x:v>5</x:v>
      </x:c>
      <x:c r="D511" s="19" t="str">
        <x:v>legacy</x:v>
      </x:c>
      <x:c r="E511" s="19" t="str">
        <x:v>每瓶一次；每配方12次</x:v>
      </x:c>
      <x:c r="F511" s="19" t="str">
        <x:v>Relay</x:v>
      </x:c>
      <x:c r="G511" s="19" t="str"/>
      <x:c r="H511" s="19" t="str">
        <x:v>05 00 0C 00 00</x:v>
      </x:c>
      <x:c r="I511" s="19" t="str">
        <x:v>Coder stop</x:v>
      </x:c>
      <x:c r="J511" s="19" t="str"/>
      <x:c r="K511" s="19" t="str">
        <x:v>响应回显=05 00 0C 00 00</x:v>
      </x:c>
      <x:c r="L511" s="19" t="str"/>
      <x:c r="M511" s="19" t="str">
        <x:v>candidate:layered/L3_group/step_09_coding_labeling.group.json</x:v>
      </x:c>
    </x:row>
    <x:row r="512" ht="34.5" customHeight="1">
      <x:c r="A512" s="15" t="str">
        <x:v>grape_small</x:v>
      </x:c>
      <x:c r="B512" s="17" t="n">
        <x:v>9</x:v>
      </x:c>
      <x:c r="C512" s="17" t="n">
        <x:v>6</x:v>
      </x:c>
      <x:c r="D512" s="15" t="str">
        <x:v>legacy</x:v>
      </x:c>
      <x:c r="E512" s="15" t="str">
        <x:v>每瓶一次；每配方12次</x:v>
      </x:c>
      <x:c r="F512" s="15" t="str">
        <x:v>Relay</x:v>
      </x:c>
      <x:c r="G512" s="15" t="str"/>
      <x:c r="H512" s="15" t="str">
        <x:v>05 00 0D FF 00</x:v>
      </x:c>
      <x:c r="I512" s="15" t="str">
        <x:v>Labeler apply</x:v>
      </x:c>
      <x:c r="J512" s="15" t="str"/>
      <x:c r="K512" s="15" t="str">
        <x:v>响应回显=05 00 0D FF 00</x:v>
      </x:c>
      <x:c r="L512" s="15" t="str"/>
      <x:c r="M512" s="15" t="str">
        <x:v>candidate:layered/L3_group/step_09_coding_labeling.group.json</x:v>
      </x:c>
    </x:row>
    <x:row r="513" ht="34.5" customHeight="1">
      <x:c r="A513" s="19" t="str">
        <x:v>grape_small</x:v>
      </x:c>
      <x:c r="B513" s="18" t="n">
        <x:v>9</x:v>
      </x:c>
      <x:c r="C513" s="18" t="n">
        <x:v>7</x:v>
      </x:c>
      <x:c r="D513" s="19" t="str">
        <x:v>legacy</x:v>
      </x:c>
      <x:c r="E513" s="19" t="str">
        <x:v>每瓶一次；每配方12次</x:v>
      </x:c>
      <x:c r="F513" s="19" t="str">
        <x:v>Relay</x:v>
      </x:c>
      <x:c r="G513" s="19" t="str"/>
      <x:c r="H513" s="19" t="str">
        <x:v>05 00 0D 00 00</x:v>
      </x:c>
      <x:c r="I513" s="19" t="str">
        <x:v>Labeler stop</x:v>
      </x:c>
      <x:c r="J513" s="19" t="str"/>
      <x:c r="K513" s="19" t="str">
        <x:v>响应回显=05 00 0D 00 00</x:v>
      </x:c>
      <x:c r="L513" s="19" t="str"/>
      <x:c r="M513" s="19" t="str">
        <x:v>candidate:layered/L3_group/step_09_coding_labeling.group.json</x:v>
      </x:c>
    </x:row>
    <x:row r="514" ht="34.5" customHeight="1">
      <x:c r="A514" s="15" t="str">
        <x:v>grape_small</x:v>
      </x:c>
      <x:c r="B514" s="17" t="n">
        <x:v>9</x:v>
      </x:c>
      <x:c r="C514" s="17" t="n">
        <x:v>8</x:v>
      </x:c>
      <x:c r="D514" s="15" t="str">
        <x:v>legacy</x:v>
      </x:c>
      <x:c r="E514" s="15" t="str">
        <x:v>每瓶一次；每配方12次</x:v>
      </x:c>
      <x:c r="F514" s="15" t="str">
        <x:v>BottleSensor</x:v>
      </x:c>
      <x:c r="G514" s="15" t="str"/>
      <x:c r="H514" s="15" t="str">
        <x:v>04 00 47 00 01</x:v>
      </x:c>
      <x:c r="I514" s="15" t="str">
        <x:v>Check coding sensor</x:v>
      </x:c>
      <x:c r="J514" s="15" t="str">
        <x:v>每50ms；截止3000ms</x:v>
      </x:c>
      <x:c r="K514" s="15" t="str">
        <x:v>04 02 00 01</x:v>
      </x:c>
      <x:c r="L514" s="15" t="str">
        <x:v>CODE_POS_TIMEOUT</x:v>
      </x:c>
      <x:c r="M514" s="15" t="str">
        <x:v>candidate:layered/L3_group/step_09_coding_labeling.group.json</x:v>
      </x:c>
    </x:row>
    <x:row r="515" ht="34.5" customHeight="1">
      <x:c r="A515" s="19" t="str">
        <x:v>grape_small</x:v>
      </x:c>
      <x:c r="B515" s="18" t="n">
        <x:v>9</x:v>
      </x:c>
      <x:c r="C515" s="18" t="n">
        <x:v>9</x:v>
      </x:c>
      <x:c r="D515" s="19" t="str">
        <x:v>legacy</x:v>
      </x:c>
      <x:c r="E515" s="19" t="str">
        <x:v>每瓶一次；每配方12次</x:v>
      </x:c>
      <x:c r="F515" s="19" t="str"/>
      <x:c r="G515" s="19" t="str"/>
      <x:c r="H515" s="19" t="str">
        <x:v>CodeState</x:v>
      </x:c>
      <x:c r="I515" s="19" t="str">
        <x:v>更新UI=done</x:v>
      </x:c>
      <x:c r="J515" s="19" t="str"/>
      <x:c r="K515" s="19" t="str"/>
      <x:c r="L515" s="19" t="str"/>
      <x:c r="M515" s="19" t="str">
        <x:v>candidate:layered/L3_group/step_09_coding_labeling.group.json</x:v>
      </x:c>
    </x:row>
    <x:row r="516" ht="34.5" customHeight="1">
      <x:c r="A516" s="15" t="str">
        <x:v>grape_small</x:v>
      </x:c>
      <x:c r="B516" s="17" t="n">
        <x:v>9</x:v>
      </x:c>
      <x:c r="C516" s="17" t="n">
        <x:v>10</x:v>
      </x:c>
      <x:c r="D516" s="15" t="str">
        <x:v>move</x:v>
      </x:c>
      <x:c r="E516" s="15" t="str">
        <x:v>每瓶一次；每配方12次</x:v>
      </x:c>
      <x:c r="F516" s="15" t="str">
        <x:v>X / Y1 / Y2 / Z</x:v>
      </x:c>
      <x:c r="G516" s="15" t="n">
        <x:v>41</x:v>
      </x:c>
      <x:c r="H516" s="15" t="str">
        <x:v>code_entry</x:v>
      </x:c>
      <x:c r="I516" s="15" t="str">
        <x:v>移动至 small code entry；PR=(14,3,3,1)；仅变化轴触发</x:v>
      </x:c>
      <x:c r="J516" s="15" t="str">
        <x:v>四电机各20ms轮询/4000ms截止</x:v>
      </x:c>
      <x:c r="K516" s="15" t="str">
        <x:v>全部就绪；缓存四位置；UI使用X/Y1/Z</x:v>
      </x:c>
      <x:c r="L516" s="15" t="str">
        <x:v>MOTION_TIMEOUT</x:v>
      </x:c>
      <x:c r="M516" s="15" t="str">
        <x:v>candidate:layered/L3_group/step_09_coding_labeling.group.json</x:v>
      </x:c>
    </x:row>
    <x:row r="517" ht="34.5" customHeight="1">
      <x:c r="A517" s="19" t="str">
        <x:v>grape_small</x:v>
      </x:c>
      <x:c r="B517" s="18" t="n">
        <x:v>10</x:v>
      </x:c>
      <x:c r="C517" s="18" t="n">
        <x:v>1</x:v>
      </x:c>
      <x:c r="D517" s="19" t="str">
        <x:v>legacy</x:v>
      </x:c>
      <x:c r="E517" s="19" t="str">
        <x:v>每瓶一次；每配方12次</x:v>
      </x:c>
      <x:c r="F517" s="19" t="str"/>
      <x:c r="G517" s="19" t="str"/>
      <x:c r="H517" s="19" t="str">
        <x:v>stage</x:v>
      </x:c>
      <x:c r="I517" s="19" t="str">
        <x:v>更新UI=10</x:v>
      </x:c>
      <x:c r="J517" s="19" t="str"/>
      <x:c r="K517" s="19" t="str"/>
      <x:c r="L517" s="19" t="str"/>
      <x:c r="M517" s="19" t="str">
        <x:v>candidate:layered/L3_group/step_10_finished_product_discharge.group.json</x:v>
      </x:c>
    </x:row>
    <x:row r="518" ht="34.5" customHeight="1">
      <x:c r="A518" s="15" t="str">
        <x:v>grape_small</x:v>
      </x:c>
      <x:c r="B518" s="17" t="n">
        <x:v>10</x:v>
      </x:c>
      <x:c r="C518" s="17" t="n">
        <x:v>2</x:v>
      </x:c>
      <x:c r="D518" s="15" t="str">
        <x:v>move</x:v>
      </x:c>
      <x:c r="E518" s="15" t="str">
        <x:v>每瓶一次；每配方12次</x:v>
      </x:c>
      <x:c r="F518" s="15" t="str">
        <x:v>X / Y1 / Y2 / Z</x:v>
      </x:c>
      <x:c r="G518" s="15" t="n">
        <x:v>43</x:v>
      </x:c>
      <x:c r="H518" s="15" t="str">
        <x:v>finished_entry</x:v>
      </x:c>
      <x:c r="I518" s="15" t="str">
        <x:v>移动至 small finished entry；PR=(12,9,9,1)；仅变化轴触发</x:v>
      </x:c>
      <x:c r="J518" s="15" t="str">
        <x:v>四电机各20ms轮询/4000ms截止</x:v>
      </x:c>
      <x:c r="K518" s="15" t="str">
        <x:v>全部就绪；缓存四位置；UI使用X/Y1/Z</x:v>
      </x:c>
      <x:c r="L518" s="15" t="str">
        <x:v>MOTION_TIMEOUT</x:v>
      </x:c>
      <x:c r="M518" s="15" t="str">
        <x:v>candidate:layered/L3_group/step_10_finished_product_discharge.group.json</x:v>
      </x:c>
    </x:row>
    <x:row r="519" ht="34.5" customHeight="1">
      <x:c r="A519" s="19" t="str">
        <x:v>grape_small</x:v>
      </x:c>
      <x:c r="B519" s="18" t="n">
        <x:v>10</x:v>
      </x:c>
      <x:c r="C519" s="18" t="n">
        <x:v>3</x:v>
      </x:c>
      <x:c r="D519" s="19" t="str">
        <x:v>move</x:v>
      </x:c>
      <x:c r="E519" s="19" t="str">
        <x:v>每瓶一次；每配方12次</x:v>
      </x:c>
      <x:c r="F519" s="19" t="str">
        <x:v>X / Y1 / Y2 / Z</x:v>
      </x:c>
      <x:c r="G519" s="19" t="n">
        <x:v>44</x:v>
      </x:c>
      <x:c r="H519" s="19" t="str">
        <x:v>finished_work</x:v>
      </x:c>
      <x:c r="I519" s="19" t="str">
        <x:v>移动至 small finished work；PR=(12,9,9,4)；仅变化轴触发</x:v>
      </x:c>
      <x:c r="J519" s="19" t="str">
        <x:v>四电机各20ms轮询/4000ms截止</x:v>
      </x:c>
      <x:c r="K519" s="19" t="str">
        <x:v>全部就绪；缓存四位置；UI使用X/Y1/Z</x:v>
      </x:c>
      <x:c r="L519" s="19" t="str">
        <x:v>MOTION_TIMEOUT</x:v>
      </x:c>
      <x:c r="M519" s="19" t="str">
        <x:v>candidate:layered/L3_group/step_10_finished_product_discharge.group.json</x:v>
      </x:c>
    </x:row>
    <x:row r="520" ht="34.5" customHeight="1">
      <x:c r="A520" s="15" t="str">
        <x:v>grape_small</x:v>
      </x:c>
      <x:c r="B520" s="17" t="n">
        <x:v>10</x:v>
      </x:c>
      <x:c r="C520" s="17" t="n">
        <x:v>4</x:v>
      </x:c>
      <x:c r="D520" s="15" t="str">
        <x:v>coil</x:v>
      </x:c>
      <x:c r="E520" s="15" t="str">
        <x:v>每瓶一次；每配方12次</x:v>
      </x:c>
      <x:c r="F520" s="15" t="str">
        <x:v>Gripper</x:v>
      </x:c>
      <x:c r="G520" s="15" t="str"/>
      <x:c r="H520" s="15" t="str">
        <x:v>FC05 0x0000</x:v>
      </x:c>
      <x:c r="I520" s="15" t="str">
        <x:v>关闭</x:v>
      </x:c>
      <x:c r="J520" s="15" t="str"/>
      <x:c r="K520" s="15" t="str">
        <x:v>写入响应回显</x:v>
      </x:c>
      <x:c r="L520" s="15" t="str"/>
      <x:c r="M520" s="15" t="str">
        <x:v>candidate:layered/L3_group/step_10_finished_product_discharge.group.json</x:v>
      </x:c>
    </x:row>
    <x:row r="521" ht="34.5" customHeight="1">
      <x:c r="A521" s="19" t="str">
        <x:v>grape_small</x:v>
      </x:c>
      <x:c r="B521" s="18" t="n">
        <x:v>10</x:v>
      </x:c>
      <x:c r="C521" s="18" t="n">
        <x:v>5</x:v>
      </x:c>
      <x:c r="D521" s="19" t="str">
        <x:v>legacy</x:v>
      </x:c>
      <x:c r="E521" s="19" t="str">
        <x:v>每瓶一次；每配方12次</x:v>
      </x:c>
      <x:c r="F521" s="19" t="str">
        <x:v>Relay</x:v>
      </x:c>
      <x:c r="G521" s="19" t="str"/>
      <x:c r="H521" s="19" t="str">
        <x:v>05 00 08 FF 00</x:v>
      </x:c>
      <x:c r="I521" s="19" t="str">
        <x:v>Write Relay register 0008</x:v>
      </x:c>
      <x:c r="J521" s="19" t="str"/>
      <x:c r="K521" s="19" t="str">
        <x:v>响应回显=05 00 08 FF 00</x:v>
      </x:c>
      <x:c r="L521" s="19" t="str"/>
      <x:c r="M521" s="19" t="str">
        <x:v>candidate:layered/L3_group/step_10_finished_product_discharge.group.json</x:v>
      </x:c>
    </x:row>
    <x:row r="522" ht="34.5" customHeight="1">
      <x:c r="A522" s="15" t="str">
        <x:v>grape_small</x:v>
      </x:c>
      <x:c r="B522" s="17" t="n">
        <x:v>10</x:v>
      </x:c>
      <x:c r="C522" s="17" t="n">
        <x:v>6</x:v>
      </x:c>
      <x:c r="D522" s="15" t="str">
        <x:v>trigger</x:v>
      </x:c>
      <x:c r="E522" s="15" t="str">
        <x:v>每瓶一次；每配方12次</x:v>
      </x:c>
      <x:c r="F522" s="15" t="str">
        <x:v>Outfeed</x:v>
      </x:c>
      <x:c r="G522" s="15" t="str"/>
      <x:c r="H522" s="15" t="str">
        <x:v>FC06 0x6002=22</x:v>
      </x:c>
      <x:c r="I522" s="15" t="str">
        <x:v>触发预设PR6</x:v>
      </x:c>
      <x:c r="J522" s="15" t="str"/>
      <x:c r="K522" s="15" t="str">
        <x:v>写入响应回显</x:v>
      </x:c>
      <x:c r="L522" s="15" t="str"/>
      <x:c r="M522" s="15" t="str">
        <x:v>candidate:layered/L3_group/step_10_finished_product_discharge.group.json</x:v>
      </x:c>
    </x:row>
    <x:row r="523" ht="34.5" customHeight="1">
      <x:c r="A523" s="19" t="str">
        <x:v>grape_small</x:v>
      </x:c>
      <x:c r="B523" s="18" t="n">
        <x:v>10</x:v>
      </x:c>
      <x:c r="C523" s="18" t="n">
        <x:v>7</x:v>
      </x:c>
      <x:c r="D523" s="19" t="str">
        <x:v>ready</x:v>
      </x:c>
      <x:c r="E523" s="19" t="str">
        <x:v>每瓶一次；每配方12次</x:v>
      </x:c>
      <x:c r="F523" s="19" t="str">
        <x:v>Outfeed</x:v>
      </x:c>
      <x:c r="G523" s="19" t="str"/>
      <x:c r="H523" s="19" t="str">
        <x:v>FC04 0x0000</x:v>
      </x:c>
      <x:c r="I523" s="19" t="str">
        <x:v>等待设备完成</x:v>
      </x:c>
      <x:c r="J523" s="19" t="str">
        <x:v>每20ms；截止4000ms</x:v>
      </x:c>
      <x:c r="K523" s="19" t="str">
        <x:v>04 02 00 01</x:v>
      </x:c>
      <x:c r="L523" s="19" t="str">
        <x:v>OUTFEED_TIMEOUT</x:v>
      </x:c>
      <x:c r="M523" s="19" t="str">
        <x:v>candidate:layered/L3_group/step_10_finished_product_discharge.group.json</x:v>
      </x:c>
    </x:row>
    <x:row r="524" ht="34.5" customHeight="1">
      <x:c r="A524" s="15" t="str">
        <x:v>grape_small</x:v>
      </x:c>
      <x:c r="B524" s="17" t="n">
        <x:v>10</x:v>
      </x:c>
      <x:c r="C524" s="17" t="n">
        <x:v>8</x:v>
      </x:c>
      <x:c r="D524" s="15" t="str">
        <x:v>legacy</x:v>
      </x:c>
      <x:c r="E524" s="15" t="str">
        <x:v>每瓶一次；每配方12次</x:v>
      </x:c>
      <x:c r="F524" s="15" t="str">
        <x:v>BottleSensor</x:v>
      </x:c>
      <x:c r="G524" s="15" t="str"/>
      <x:c r="H524" s="15" t="str">
        <x:v>04 00 40 00 01</x:v>
      </x:c>
      <x:c r="I524" s="15" t="str">
        <x:v>Check discharge sensor</x:v>
      </x:c>
      <x:c r="J524" s="15" t="str">
        <x:v>每100ms；截止5000ms</x:v>
      </x:c>
      <x:c r="K524" s="15" t="str">
        <x:v>04 02 00 01</x:v>
      </x:c>
      <x:c r="L524" s="15" t="str">
        <x:v>OUT_SENSOR_TIMEOUT</x:v>
      </x:c>
      <x:c r="M524" s="15" t="str">
        <x:v>candidate:layered/L3_group/step_10_finished_product_discharge.group.json</x:v>
      </x:c>
    </x:row>
    <x:row r="525" ht="34.5" customHeight="1">
      <x:c r="A525" s="19" t="str">
        <x:v>grape_small</x:v>
      </x:c>
      <x:c r="B525" s="18" t="n">
        <x:v>10</x:v>
      </x:c>
      <x:c r="C525" s="18" t="n">
        <x:v>9</x:v>
      </x:c>
      <x:c r="D525" s="19" t="str">
        <x:v>legacy</x:v>
      </x:c>
      <x:c r="E525" s="19" t="str">
        <x:v>每瓶一次；每配方12次</x:v>
      </x:c>
      <x:c r="F525" s="19" t="str">
        <x:v>FlowMeter</x:v>
      </x:c>
      <x:c r="G525" s="19" t="str"/>
      <x:c r="H525" s="19" t="str">
        <x:v>03 00 20 00 02；解码={"cacheStartByte":2,"cacheLength":4,"cacheEndian":"big","valueType":"int"}</x:v>
      </x:c>
      <x:c r="I525" s="19" t="str">
        <x:v>缓存totalCount</x:v>
      </x:c>
      <x:c r="J525" s="19" t="str"/>
      <x:c r="K525" s="19" t="str"/>
      <x:c r="L525" s="19" t="str"/>
      <x:c r="M525" s="19" t="str">
        <x:v>candidate:layered/L3_group/step_10_finished_product_discharge.group.json</x:v>
      </x:c>
    </x:row>
    <x:row r="526" ht="34.5" customHeight="1">
      <x:c r="A526" s="15" t="str">
        <x:v>grape_small</x:v>
      </x:c>
      <x:c r="B526" s="17" t="n">
        <x:v>10</x:v>
      </x:c>
      <x:c r="C526" s="17" t="n">
        <x:v>10</x:v>
      </x:c>
      <x:c r="D526" s="15" t="str">
        <x:v>legacy</x:v>
      </x:c>
      <x:c r="E526" s="15" t="str">
        <x:v>每瓶一次；每配方12次</x:v>
      </x:c>
      <x:c r="F526" s="15" t="str">
        <x:v>Relay</x:v>
      </x:c>
      <x:c r="G526" s="15" t="str"/>
      <x:c r="H526" s="15" t="str">
        <x:v>05 00 08 00 00</x:v>
      </x:c>
      <x:c r="I526" s="15" t="str">
        <x:v>Write Relay register 0008</x:v>
      </x:c>
      <x:c r="J526" s="15" t="str"/>
      <x:c r="K526" s="15" t="str">
        <x:v>响应回显=05 00 08 00 00</x:v>
      </x:c>
      <x:c r="L526" s="15" t="str"/>
      <x:c r="M526" s="15" t="str">
        <x:v>candidate:layered/L3_group/step_10_finished_product_discharge.group.json</x:v>
      </x:c>
    </x:row>
    <x:row r="527" ht="34.5" customHeight="1">
      <x:c r="A527" s="19" t="str">
        <x:v>grape_small</x:v>
      </x:c>
      <x:c r="B527" s="18" t="n">
        <x:v>10</x:v>
      </x:c>
      <x:c r="C527" s="18" t="n">
        <x:v>11</x:v>
      </x:c>
      <x:c r="D527" s="19" t="str">
        <x:v>move</x:v>
      </x:c>
      <x:c r="E527" s="19" t="str">
        <x:v>每瓶一次；每配方12次</x:v>
      </x:c>
      <x:c r="F527" s="19" t="str">
        <x:v>X / Y1 / Y2 / Z</x:v>
      </x:c>
      <x:c r="G527" s="19" t="n">
        <x:v>43</x:v>
      </x:c>
      <x:c r="H527" s="19" t="str">
        <x:v>finished_entry</x:v>
      </x:c>
      <x:c r="I527" s="19" t="str">
        <x:v>移动至 small finished entry；PR=(12,9,9,1)；仅变化轴触发</x:v>
      </x:c>
      <x:c r="J527" s="19" t="str">
        <x:v>四电机各20ms轮询/4000ms截止</x:v>
      </x:c>
      <x:c r="K527" s="19" t="str">
        <x:v>全部就绪；缓存四位置；UI使用X/Y1/Z</x:v>
      </x:c>
      <x:c r="L527" s="19" t="str">
        <x:v>MOTION_TIMEOUT</x:v>
      </x:c>
      <x:c r="M527" s="19" t="str">
        <x:v>candidate:layered/L3_group/step_10_finished_product_discharge.group.json</x:v>
      </x:c>
    </x:row>
    <x:row r="528" ht="34.5" customHeight="1">
      <x:c r="A528" s="15" t="str">
        <x:v>grape_small</x:v>
      </x:c>
      <x:c r="B528" s="17" t="n">
        <x:v>10</x:v>
      </x:c>
      <x:c r="C528" s="17" t="n">
        <x:v>12</x:v>
      </x:c>
      <x:c r="D528" s="15" t="str">
        <x:v>count</x:v>
      </x:c>
      <x:c r="E528" s="15" t="str">
        <x:v>每瓶一次；每配方12次</x:v>
      </x:c>
      <x:c r="F528" s="15" t="str"/>
      <x:c r="G528" s="15" t="str"/>
      <x:c r="H528" s="15" t="str">
        <x:v>completed</x:v>
      </x:c>
      <x:c r="I528" s="15" t="str">
        <x:v>完成计数加1并刷新UI</x:v>
      </x:c>
      <x:c r="J528" s="15" t="str"/>
      <x:c r="K528" s="15" t="str"/>
      <x:c r="L528" s="15" t="str"/>
      <x:c r="M528" s="15" t="str">
        <x:v>candidate:layered/L3_group/step_10_finished_product_discharge.group.json</x:v>
      </x:c>
    </x:row>
    <x:row r="529" ht="34.5" customHeight="1">
      <x:c r="A529" s="19" t="str">
        <x:v>grape_small</x:v>
      </x:c>
      <x:c r="B529" s="18" t="n">
        <x:v>11</x:v>
      </x:c>
      <x:c r="C529" s="18" t="n">
        <x:v>1</x:v>
      </x:c>
      <x:c r="D529" s="19" t="str">
        <x:v>legacy</x:v>
      </x:c>
      <x:c r="E529" s="19" t="str">
        <x:v>每配方一次</x:v>
      </x:c>
      <x:c r="F529" s="19" t="str"/>
      <x:c r="G529" s="19" t="str"/>
      <x:c r="H529" s="19" t="str">
        <x:v>stage</x:v>
      </x:c>
      <x:c r="I529" s="19" t="str">
        <x:v>更新UI=11</x:v>
      </x:c>
      <x:c r="J529" s="19" t="str"/>
      <x:c r="K529" s="19" t="str"/>
      <x:c r="L529" s="19" t="str"/>
      <x:c r="M529" s="19" t="str">
        <x:v>candidate:layered/L3_group/step_11_cip_cleaning_sanitizing.group.json</x:v>
      </x:c>
    </x:row>
    <x:row r="530" ht="34.5" customHeight="1">
      <x:c r="A530" s="15" t="str">
        <x:v>grape_small</x:v>
      </x:c>
      <x:c r="B530" s="17" t="n">
        <x:v>11</x:v>
      </x:c>
      <x:c r="C530" s="17" t="n">
        <x:v>2</x:v>
      </x:c>
      <x:c r="D530" s="15" t="str">
        <x:v>legacy</x:v>
      </x:c>
      <x:c r="E530" s="15" t="str">
        <x:v>每配方一次</x:v>
      </x:c>
      <x:c r="F530" s="15" t="str">
        <x:v>CIPValve</x:v>
      </x:c>
      <x:c r="G530" s="15" t="str"/>
      <x:c r="H530" s="15" t="str">
        <x:v>05 00 13 FF 00</x:v>
      </x:c>
      <x:c r="I530" s="15" t="str">
        <x:v>Open CIP valve</x:v>
      </x:c>
      <x:c r="J530" s="15" t="str"/>
      <x:c r="K530" s="15" t="str">
        <x:v>响应回显=05 00 13 FF 00</x:v>
      </x:c>
      <x:c r="L530" s="15" t="str"/>
      <x:c r="M530" s="15" t="str">
        <x:v>candidate:layered/L3_group/step_11_cip_cleaning_sanitizing.group.json</x:v>
      </x:c>
    </x:row>
    <x:row r="531" ht="34.5" customHeight="1">
      <x:c r="A531" s="19" t="str">
        <x:v>grape_small</x:v>
      </x:c>
      <x:c r="B531" s="18" t="n">
        <x:v>11</x:v>
      </x:c>
      <x:c r="C531" s="18" t="n">
        <x:v>3</x:v>
      </x:c>
      <x:c r="D531" s="19" t="str">
        <x:v>legacy</x:v>
      </x:c>
      <x:c r="E531" s="19" t="str">
        <x:v>每配方一次</x:v>
      </x:c>
      <x:c r="F531" s="19" t="str">
        <x:v>Relay</x:v>
      </x:c>
      <x:c r="G531" s="19" t="str"/>
      <x:c r="H531" s="19" t="str">
        <x:v>05 00 0E FF 00</x:v>
      </x:c>
      <x:c r="I531" s="19" t="str">
        <x:v>CIP pump start</x:v>
      </x:c>
      <x:c r="J531" s="19" t="str"/>
      <x:c r="K531" s="19" t="str">
        <x:v>响应回显=05 00 0E FF 00</x:v>
      </x:c>
      <x:c r="L531" s="19" t="str"/>
      <x:c r="M531" s="19" t="str">
        <x:v>candidate:layered/L3_group/step_11_cip_cleaning_sanitizing.group.json</x:v>
      </x:c>
    </x:row>
    <x:row r="532" ht="34.5" customHeight="1">
      <x:c r="A532" s="15" t="str">
        <x:v>grape_small</x:v>
      </x:c>
      <x:c r="B532" s="17" t="n">
        <x:v>11</x:v>
      </x:c>
      <x:c r="C532" s="17" t="n">
        <x:v>4</x:v>
      </x:c>
      <x:c r="D532" s="15" t="str">
        <x:v>legacy</x:v>
      </x:c>
      <x:c r="E532" s="15" t="str">
        <x:v>每配方一次</x:v>
      </x:c>
      <x:c r="F532" s="15" t="str"/>
      <x:c r="G532" s="15" t="str"/>
      <x:c r="H532" s="15" t="str"/>
      <x:c r="I532" s="15" t="str">
        <x:v>显式等待(ms)</x:v>
      </x:c>
      <x:c r="J532" s="15" t="n">
        <x:v>120000</x:v>
      </x:c>
      <x:c r="K532" s="15" t="str"/>
      <x:c r="L532" s="15" t="str"/>
      <x:c r="M532" s="15" t="str">
        <x:v>candidate:layered/L3_group/step_11_cip_cleaning_sanitizing.group.json</x:v>
      </x:c>
    </x:row>
    <x:row r="533" ht="34.5" customHeight="1">
      <x:c r="A533" s="19" t="str">
        <x:v>grape_small</x:v>
      </x:c>
      <x:c r="B533" s="18" t="n">
        <x:v>11</x:v>
      </x:c>
      <x:c r="C533" s="18" t="n">
        <x:v>5</x:v>
      </x:c>
      <x:c r="D533" s="19" t="str">
        <x:v>legacy</x:v>
      </x:c>
      <x:c r="E533" s="19" t="str">
        <x:v>每配方一次</x:v>
      </x:c>
      <x:c r="F533" s="19" t="str">
        <x:v>PressureSensor</x:v>
      </x:c>
      <x:c r="G533" s="19" t="str"/>
      <x:c r="H533" s="19" t="str">
        <x:v>03 00 10 00 02；解码={"valueStartByte":2,"valueLength":4,"valueEndian":"little","valueType":"float"}</x:v>
      </x:c>
      <x:c r="I533" s="19" t="str">
        <x:v>Check CIP pressure &gt;= 0.3MPa</x:v>
      </x:c>
      <x:c r="J533" s="19" t="str"/>
      <x:c r="K533" s="19" t="str">
        <x:v>greaterOrEqual 0.3</x:v>
      </x:c>
      <x:c r="L533" s="19" t="str">
        <x:v>CIP_PRESSURE_LOW</x:v>
      </x:c>
      <x:c r="M533" s="19" t="str">
        <x:v>candidate:layered/L3_group/step_11_cip_cleaning_sanitizing.group.json</x:v>
      </x:c>
    </x:row>
    <x:row r="534" ht="34.5" customHeight="1">
      <x:c r="A534" s="15" t="str">
        <x:v>grape_small</x:v>
      </x:c>
      <x:c r="B534" s="17" t="n">
        <x:v>11</x:v>
      </x:c>
      <x:c r="C534" s="17" t="n">
        <x:v>6</x:v>
      </x:c>
      <x:c r="D534" s="15" t="str">
        <x:v>legacy</x:v>
      </x:c>
      <x:c r="E534" s="15" t="str">
        <x:v>每配方一次</x:v>
      </x:c>
      <x:c r="F534" s="15" t="str">
        <x:v>CIPValve</x:v>
      </x:c>
      <x:c r="G534" s="15" t="str"/>
      <x:c r="H534" s="15" t="str">
        <x:v>05 00 14 FF 00</x:v>
      </x:c>
      <x:c r="I534" s="15" t="str">
        <x:v>open Drain valve</x:v>
      </x:c>
      <x:c r="J534" s="15" t="str"/>
      <x:c r="K534" s="15" t="str">
        <x:v>响应回显=05 00 14 FF 00</x:v>
      </x:c>
      <x:c r="L534" s="15" t="str"/>
      <x:c r="M534" s="15" t="str">
        <x:v>candidate:layered/L3_group/step_11_cip_cleaning_sanitizing.group.json</x:v>
      </x:c>
    </x:row>
    <x:row r="535" ht="34.5" customHeight="1">
      <x:c r="A535" s="19" t="str">
        <x:v>grape_small</x:v>
      </x:c>
      <x:c r="B535" s="18" t="n">
        <x:v>11</x:v>
      </x:c>
      <x:c r="C535" s="18" t="n">
        <x:v>7</x:v>
      </x:c>
      <x:c r="D535" s="19" t="str">
        <x:v>legacy</x:v>
      </x:c>
      <x:c r="E535" s="19" t="str">
        <x:v>每配方一次</x:v>
      </x:c>
      <x:c r="F535" s="19" t="str"/>
      <x:c r="G535" s="19" t="str"/>
      <x:c r="H535" s="19" t="str"/>
      <x:c r="I535" s="19" t="str">
        <x:v>显式等待(ms)</x:v>
      </x:c>
      <x:c r="J535" s="19" t="n">
        <x:v>30000</x:v>
      </x:c>
      <x:c r="K535" s="19" t="str"/>
      <x:c r="L535" s="19" t="str"/>
      <x:c r="M535" s="19" t="str">
        <x:v>candidate:layered/L3_group/step_11_cip_cleaning_sanitizing.group.json</x:v>
      </x:c>
    </x:row>
    <x:row r="536" ht="34.5" customHeight="1">
      <x:c r="A536" s="15" t="str">
        <x:v>grape_small</x:v>
      </x:c>
      <x:c r="B536" s="17" t="n">
        <x:v>11</x:v>
      </x:c>
      <x:c r="C536" s="17" t="n">
        <x:v>8</x:v>
      </x:c>
      <x:c r="D536" s="15" t="str">
        <x:v>legacy</x:v>
      </x:c>
      <x:c r="E536" s="15" t="str">
        <x:v>每配方一次</x:v>
      </x:c>
      <x:c r="F536" s="15" t="str">
        <x:v>CIPValve</x:v>
      </x:c>
      <x:c r="G536" s="15" t="str"/>
      <x:c r="H536" s="15" t="str">
        <x:v>05 00 14 00 00</x:v>
      </x:c>
      <x:c r="I536" s="15" t="str">
        <x:v>close Drain valve</x:v>
      </x:c>
      <x:c r="J536" s="15" t="str"/>
      <x:c r="K536" s="15" t="str">
        <x:v>响应回显=05 00 14 00 00</x:v>
      </x:c>
      <x:c r="L536" s="15" t="str"/>
      <x:c r="M536" s="15" t="str">
        <x:v>candidate:layered/L3_group/step_11_cip_cleaning_sanitizing.group.json</x:v>
      </x:c>
    </x:row>
    <x:row r="537" ht="34.5" customHeight="1">
      <x:c r="A537" s="19" t="str">
        <x:v>grape_small</x:v>
      </x:c>
      <x:c r="B537" s="18" t="n">
        <x:v>11</x:v>
      </x:c>
      <x:c r="C537" s="18" t="n">
        <x:v>9</x:v>
      </x:c>
      <x:c r="D537" s="19" t="str">
        <x:v>legacy</x:v>
      </x:c>
      <x:c r="E537" s="19" t="str">
        <x:v>每配方一次</x:v>
      </x:c>
      <x:c r="F537" s="19" t="str">
        <x:v>Relay</x:v>
      </x:c>
      <x:c r="G537" s="19" t="str"/>
      <x:c r="H537" s="19" t="str">
        <x:v>05 00 0E 00 00</x:v>
      </x:c>
      <x:c r="I537" s="19" t="str">
        <x:v>CIP pump stop</x:v>
      </x:c>
      <x:c r="J537" s="19" t="str"/>
      <x:c r="K537" s="19" t="str">
        <x:v>响应回显=05 00 0E 00 00</x:v>
      </x:c>
      <x:c r="L537" s="19" t="str"/>
      <x:c r="M537" s="19" t="str">
        <x:v>candidate:layered/L3_group/step_11_cip_cleaning_sanitizing.group.json</x:v>
      </x:c>
    </x:row>
    <x:row r="538" ht="34.5" customHeight="1">
      <x:c r="A538" s="15" t="str">
        <x:v>grape_small</x:v>
      </x:c>
      <x:c r="B538" s="17" t="n">
        <x:v>11</x:v>
      </x:c>
      <x:c r="C538" s="17" t="n">
        <x:v>10</x:v>
      </x:c>
      <x:c r="D538" s="15" t="str">
        <x:v>legacy</x:v>
      </x:c>
      <x:c r="E538" s="15" t="str">
        <x:v>每配方一次</x:v>
      </x:c>
      <x:c r="F538" s="15" t="str">
        <x:v>RinseValve</x:v>
      </x:c>
      <x:c r="G538" s="15" t="str"/>
      <x:c r="H538" s="15" t="str">
        <x:v>05 00 12 FF 00</x:v>
      </x:c>
      <x:c r="I538" s="15" t="str">
        <x:v>open fresh water Rinse valve</x:v>
      </x:c>
      <x:c r="J538" s="15" t="str"/>
      <x:c r="K538" s="15" t="str">
        <x:v>响应回显=05 00 12 FF 00</x:v>
      </x:c>
      <x:c r="L538" s="15" t="str"/>
      <x:c r="M538" s="15" t="str">
        <x:v>candidate:layered/L3_group/step_11_cip_cleaning_sanitizing.group.json</x:v>
      </x:c>
    </x:row>
    <x:row r="539" ht="34.5" customHeight="1">
      <x:c r="A539" s="19" t="str">
        <x:v>grape_small</x:v>
      </x:c>
      <x:c r="B539" s="18" t="n">
        <x:v>11</x:v>
      </x:c>
      <x:c r="C539" s="18" t="n">
        <x:v>11</x:v>
      </x:c>
      <x:c r="D539" s="19" t="str">
        <x:v>legacy</x:v>
      </x:c>
      <x:c r="E539" s="19" t="str">
        <x:v>每配方一次</x:v>
      </x:c>
      <x:c r="F539" s="19" t="str"/>
      <x:c r="G539" s="19" t="str"/>
      <x:c r="H539" s="19" t="str"/>
      <x:c r="I539" s="19" t="str">
        <x:v>显式等待(ms)</x:v>
      </x:c>
      <x:c r="J539" s="19" t="n">
        <x:v>20000</x:v>
      </x:c>
      <x:c r="K539" s="19" t="str"/>
      <x:c r="L539" s="19" t="str"/>
      <x:c r="M539" s="19" t="str">
        <x:v>candidate:layered/L3_group/step_11_cip_cleaning_sanitizing.group.json</x:v>
      </x:c>
    </x:row>
    <x:row r="540" ht="34.5" customHeight="1">
      <x:c r="A540" s="15" t="str">
        <x:v>grape_small</x:v>
      </x:c>
      <x:c r="B540" s="17" t="n">
        <x:v>11</x:v>
      </x:c>
      <x:c r="C540" s="17" t="n">
        <x:v>12</x:v>
      </x:c>
      <x:c r="D540" s="15" t="str">
        <x:v>legacy</x:v>
      </x:c>
      <x:c r="E540" s="15" t="str">
        <x:v>每配方一次</x:v>
      </x:c>
      <x:c r="F540" s="15" t="str">
        <x:v>RinseValve</x:v>
      </x:c>
      <x:c r="G540" s="15" t="str"/>
      <x:c r="H540" s="15" t="str">
        <x:v>05 00 12 00 00</x:v>
      </x:c>
      <x:c r="I540" s="15" t="str">
        <x:v>close fresh water Rinse valve</x:v>
      </x:c>
      <x:c r="J540" s="15" t="str"/>
      <x:c r="K540" s="15" t="str">
        <x:v>响应回显=05 00 12 00 00</x:v>
      </x:c>
      <x:c r="L540" s="15" t="str"/>
      <x:c r="M540" s="15" t="str">
        <x:v>candidate:layered/L3_group/step_11_cip_cleaning_sanitizing.group.json</x:v>
      </x:c>
    </x:row>
    <x:row r="541" ht="34.5" customHeight="1">
      <x:c r="A541" s="19" t="str">
        <x:v>grape_small</x:v>
      </x:c>
      <x:c r="B541" s="18" t="n">
        <x:v>11</x:v>
      </x:c>
      <x:c r="C541" s="18" t="n">
        <x:v>13</x:v>
      </x:c>
      <x:c r="D541" s="19" t="str">
        <x:v>legacy</x:v>
      </x:c>
      <x:c r="E541" s="19" t="str">
        <x:v>每配方一次</x:v>
      </x:c>
      <x:c r="F541" s="19" t="str">
        <x:v>CIPValve</x:v>
      </x:c>
      <x:c r="G541" s="19" t="str"/>
      <x:c r="H541" s="19" t="str">
        <x:v>05 00 13 00 00</x:v>
      </x:c>
      <x:c r="I541" s="19" t="str">
        <x:v>Close CIP valve</x:v>
      </x:c>
      <x:c r="J541" s="19" t="str"/>
      <x:c r="K541" s="19" t="str">
        <x:v>响应回显=05 00 13 00 00</x:v>
      </x:c>
      <x:c r="L541" s="19" t="str"/>
      <x:c r="M541" s="19" t="str">
        <x:v>candidate:layered/L3_group/step_11_cip_cleaning_sanitizing.group.json</x:v>
      </x:c>
    </x:row>
    <x:row r="542" ht="34.5" customHeight="1">
      <x:c r="A542" s="15" t="str">
        <x:v>grape_small</x:v>
      </x:c>
      <x:c r="B542" s="17" t="n">
        <x:v>11</x:v>
      </x:c>
      <x:c r="C542" s="17" t="n">
        <x:v>14</x:v>
      </x:c>
      <x:c r="D542" s="15" t="str">
        <x:v>legacy</x:v>
      </x:c>
      <x:c r="E542" s="15" t="str">
        <x:v>每配方一次</x:v>
      </x:c>
      <x:c r="F542" s="15" t="str"/>
      <x:c r="G542" s="15" t="str"/>
      <x:c r="H542" s="15" t="str">
        <x:v>CIPState</x:v>
      </x:c>
      <x:c r="I542" s="15" t="str">
        <x:v>更新UI=done</x:v>
      </x:c>
      <x:c r="J542" s="15" t="str"/>
      <x:c r="K542" s="15" t="str"/>
      <x:c r="L542" s="15" t="str"/>
      <x:c r="M542" s="15" t="str">
        <x:v>candidate:layered/L3_group/step_11_cip_cleaning_sanitizing.group.json</x:v>
      </x:c>
    </x:row>
    <x:row r="543" ht="34.5" customHeight="1">
      <x:c r="A543" s="19" t="str">
        <x:v>grape_small</x:v>
      </x:c>
      <x:c r="B543" s="18" t="n">
        <x:v>12</x:v>
      </x:c>
      <x:c r="C543" s="18" t="n">
        <x:v>1</x:v>
      </x:c>
      <x:c r="D543" s="19" t="str">
        <x:v>legacy</x:v>
      </x:c>
      <x:c r="E543" s="19" t="str">
        <x:v>每配方一次</x:v>
      </x:c>
      <x:c r="F543" s="19" t="str"/>
      <x:c r="G543" s="19" t="str"/>
      <x:c r="H543" s="19" t="str">
        <x:v>stage</x:v>
      </x:c>
      <x:c r="I543" s="19" t="str">
        <x:v>更新UI=12</x:v>
      </x:c>
      <x:c r="J543" s="19" t="str"/>
      <x:c r="K543" s="19" t="str"/>
      <x:c r="L543" s="19" t="str"/>
      <x:c r="M543" s="19" t="str">
        <x:v>candidate:layered/L3_group/step_12_homing_standby.group.json</x:v>
      </x:c>
    </x:row>
    <x:row r="544" ht="34.5" customHeight="1">
      <x:c r="A544" s="15" t="str">
        <x:v>grape_small</x:v>
      </x:c>
      <x:c r="B544" s="17" t="n">
        <x:v>12</x:v>
      </x:c>
      <x:c r="C544" s="17" t="n">
        <x:v>2</x:v>
      </x:c>
      <x:c r="D544" s="15" t="str">
        <x:v>legacy</x:v>
      </x:c>
      <x:c r="E544" s="15" t="str">
        <x:v>每配方一次</x:v>
      </x:c>
      <x:c r="F544" s="15" t="str">
        <x:v>OrangeFill</x:v>
      </x:c>
      <x:c r="G544" s="15" t="str"/>
      <x:c r="H544" s="15" t="str">
        <x:v>05 00 00 00 00</x:v>
      </x:c>
      <x:c r="I544" s="15" t="str">
        <x:v>Write OrangeFill register 0000</x:v>
      </x:c>
      <x:c r="J544" s="15" t="str"/>
      <x:c r="K544" s="15" t="str">
        <x:v>响应回显=05 00 00 00 00</x:v>
      </x:c>
      <x:c r="L544" s="15" t="str"/>
      <x:c r="M544" s="15" t="str">
        <x:v>candidate:layered/L3_group/step_12_homing_standby.group.json</x:v>
      </x:c>
    </x:row>
    <x:row r="545" ht="34.5" customHeight="1">
      <x:c r="A545" s="19" t="str">
        <x:v>grape_small</x:v>
      </x:c>
      <x:c r="B545" s="18" t="n">
        <x:v>12</x:v>
      </x:c>
      <x:c r="C545" s="18" t="n">
        <x:v>3</x:v>
      </x:c>
      <x:c r="D545" s="19" t="str">
        <x:v>legacy</x:v>
      </x:c>
      <x:c r="E545" s="19" t="str">
        <x:v>每配方一次</x:v>
      </x:c>
      <x:c r="F545" s="19" t="str">
        <x:v>AppleFill</x:v>
      </x:c>
      <x:c r="G545" s="19" t="str"/>
      <x:c r="H545" s="19" t="str">
        <x:v>05 00 00 00 00</x:v>
      </x:c>
      <x:c r="I545" s="19" t="str">
        <x:v>Write AppleFill register 0000</x:v>
      </x:c>
      <x:c r="J545" s="19" t="str"/>
      <x:c r="K545" s="19" t="str">
        <x:v>响应回显=05 00 00 00 00</x:v>
      </x:c>
      <x:c r="L545" s="19" t="str"/>
      <x:c r="M545" s="19" t="str">
        <x:v>candidate:layered/L3_group/step_12_homing_standby.group.json</x:v>
      </x:c>
    </x:row>
    <x:row r="546" ht="34.5" customHeight="1">
      <x:c r="A546" s="15" t="str">
        <x:v>grape_small</x:v>
      </x:c>
      <x:c r="B546" s="17" t="n">
        <x:v>12</x:v>
      </x:c>
      <x:c r="C546" s="17" t="n">
        <x:v>4</x:v>
      </x:c>
      <x:c r="D546" s="15" t="str">
        <x:v>legacy</x:v>
      </x:c>
      <x:c r="E546" s="15" t="str">
        <x:v>每配方一次</x:v>
      </x:c>
      <x:c r="F546" s="15" t="str">
        <x:v>GrapeFill</x:v>
      </x:c>
      <x:c r="G546" s="15" t="str"/>
      <x:c r="H546" s="15" t="str">
        <x:v>05 00 00 00 00</x:v>
      </x:c>
      <x:c r="I546" s="15" t="str">
        <x:v>Write GrapeFill register 0000</x:v>
      </x:c>
      <x:c r="J546" s="15" t="str"/>
      <x:c r="K546" s="15" t="str">
        <x:v>响应回显=05 00 00 00 00</x:v>
      </x:c>
      <x:c r="L546" s="15" t="str"/>
      <x:c r="M546" s="15" t="str">
        <x:v>candidate:layered/L3_group/step_12_homing_standby.group.json</x:v>
      </x:c>
    </x:row>
    <x:row r="547" ht="34.5" customHeight="1">
      <x:c r="A547" s="19" t="str">
        <x:v>grape_small</x:v>
      </x:c>
      <x:c r="B547" s="18" t="n">
        <x:v>12</x:v>
      </x:c>
      <x:c r="C547" s="18" t="n">
        <x:v>5</x:v>
      </x:c>
      <x:c r="D547" s="19" t="str">
        <x:v>legacy</x:v>
      </x:c>
      <x:c r="E547" s="19" t="str">
        <x:v>每配方一次</x:v>
      </x:c>
      <x:c r="F547" s="19" t="str">
        <x:v>Gripper</x:v>
      </x:c>
      <x:c r="G547" s="19" t="str"/>
      <x:c r="H547" s="19" t="str">
        <x:v>05 00 00 00 00</x:v>
      </x:c>
      <x:c r="I547" s="19" t="str">
        <x:v>Write Gripper register 0000</x:v>
      </x:c>
      <x:c r="J547" s="19" t="str"/>
      <x:c r="K547" s="19" t="str">
        <x:v>响应回显=05 00 00 00 00</x:v>
      </x:c>
      <x:c r="L547" s="19" t="str"/>
      <x:c r="M547" s="19" t="str">
        <x:v>candidate:layered/L3_group/step_12_homing_standby.group.json</x:v>
      </x:c>
    </x:row>
    <x:row r="548" ht="34.5" customHeight="1">
      <x:c r="A548" s="15" t="str">
        <x:v>grape_small</x:v>
      </x:c>
      <x:c r="B548" s="17" t="n">
        <x:v>12</x:v>
      </x:c>
      <x:c r="C548" s="17" t="n">
        <x:v>6</x:v>
      </x:c>
      <x:c r="D548" s="15" t="str">
        <x:v>legacy</x:v>
      </x:c>
      <x:c r="E548" s="15" t="str">
        <x:v>每配方一次</x:v>
      </x:c>
      <x:c r="F548" s="15" t="str">
        <x:v>CapFeeder</x:v>
      </x:c>
      <x:c r="G548" s="15" t="str"/>
      <x:c r="H548" s="15" t="str">
        <x:v>05 00 00 00 00</x:v>
      </x:c>
      <x:c r="I548" s="15" t="str">
        <x:v>Write CapFeeder register 0000</x:v>
      </x:c>
      <x:c r="J548" s="15" t="str"/>
      <x:c r="K548" s="15" t="str">
        <x:v>响应回显=05 00 00 00 00</x:v>
      </x:c>
      <x:c r="L548" s="15" t="str"/>
      <x:c r="M548" s="15" t="str">
        <x:v>candidate:layered/L3_group/step_12_homing_standby.group.json</x:v>
      </x:c>
    </x:row>
    <x:row r="549" ht="34.5" customHeight="1">
      <x:c r="A549" s="19" t="str">
        <x:v>grape_small</x:v>
      </x:c>
      <x:c r="B549" s="18" t="n">
        <x:v>12</x:v>
      </x:c>
      <x:c r="C549" s="18" t="n">
        <x:v>7</x:v>
      </x:c>
      <x:c r="D549" s="19" t="str">
        <x:v>legacy</x:v>
      </x:c>
      <x:c r="E549" s="19" t="str">
        <x:v>每配方一次</x:v>
      </x:c>
      <x:c r="F549" s="19" t="str">
        <x:v>RinseValve</x:v>
      </x:c>
      <x:c r="G549" s="19" t="str"/>
      <x:c r="H549" s="19" t="str">
        <x:v>05 00 12 00 00</x:v>
      </x:c>
      <x:c r="I549" s="19" t="str">
        <x:v>Write RinseValve register 0012</x:v>
      </x:c>
      <x:c r="J549" s="19" t="str"/>
      <x:c r="K549" s="19" t="str">
        <x:v>响应回显=05 00 12 00 00</x:v>
      </x:c>
      <x:c r="L549" s="19" t="str"/>
      <x:c r="M549" s="19" t="str">
        <x:v>candidate:layered/L3_group/step_12_homing_standby.group.json</x:v>
      </x:c>
    </x:row>
    <x:row r="550" ht="34.5" customHeight="1">
      <x:c r="A550" s="15" t="str">
        <x:v>grape_small</x:v>
      </x:c>
      <x:c r="B550" s="17" t="n">
        <x:v>12</x:v>
      </x:c>
      <x:c r="C550" s="17" t="n">
        <x:v>8</x:v>
      </x:c>
      <x:c r="D550" s="15" t="str">
        <x:v>legacy</x:v>
      </x:c>
      <x:c r="E550" s="15" t="str">
        <x:v>每配方一次</x:v>
      </x:c>
      <x:c r="F550" s="15" t="str">
        <x:v>CIPValve</x:v>
      </x:c>
      <x:c r="G550" s="15" t="str"/>
      <x:c r="H550" s="15" t="str">
        <x:v>05 00 13 00 00</x:v>
      </x:c>
      <x:c r="I550" s="15" t="str">
        <x:v>Write CIPValve register 0013</x:v>
      </x:c>
      <x:c r="J550" s="15" t="str"/>
      <x:c r="K550" s="15" t="str">
        <x:v>响应回显=05 00 13 00 00</x:v>
      </x:c>
      <x:c r="L550" s="15" t="str"/>
      <x:c r="M550" s="15" t="str">
        <x:v>candidate:layered/L3_group/step_12_homing_standby.group.json</x:v>
      </x:c>
    </x:row>
    <x:row r="551" ht="34.5" customHeight="1">
      <x:c r="A551" s="19" t="str">
        <x:v>grape_small</x:v>
      </x:c>
      <x:c r="B551" s="18" t="n">
        <x:v>12</x:v>
      </x:c>
      <x:c r="C551" s="18" t="n">
        <x:v>9</x:v>
      </x:c>
      <x:c r="D551" s="19" t="str">
        <x:v>legacy</x:v>
      </x:c>
      <x:c r="E551" s="19" t="str">
        <x:v>每配方一次</x:v>
      </x:c>
      <x:c r="F551" s="19" t="str">
        <x:v>CIPValve</x:v>
      </x:c>
      <x:c r="G551" s="19" t="str"/>
      <x:c r="H551" s="19" t="str">
        <x:v>05 00 14 00 00</x:v>
      </x:c>
      <x:c r="I551" s="19" t="str">
        <x:v>Write CIPValve register 0014</x:v>
      </x:c>
      <x:c r="J551" s="19" t="str"/>
      <x:c r="K551" s="19" t="str">
        <x:v>响应回显=05 00 14 00 00</x:v>
      </x:c>
      <x:c r="L551" s="19" t="str"/>
      <x:c r="M551" s="19" t="str">
        <x:v>candidate:layered/L3_group/step_12_homing_standby.group.json</x:v>
      </x:c>
    </x:row>
    <x:row r="552" ht="34.5" customHeight="1">
      <x:c r="A552" s="15" t="str">
        <x:v>grape_small</x:v>
      </x:c>
      <x:c r="B552" s="17" t="n">
        <x:v>12</x:v>
      </x:c>
      <x:c r="C552" s="17" t="n">
        <x:v>10</x:v>
      </x:c>
      <x:c r="D552" s="15" t="str">
        <x:v>legacy</x:v>
      </x:c>
      <x:c r="E552" s="15" t="str">
        <x:v>每配方一次</x:v>
      </x:c>
      <x:c r="F552" s="15" t="str">
        <x:v>Relay</x:v>
      </x:c>
      <x:c r="G552" s="15" t="str"/>
      <x:c r="H552" s="15" t="str">
        <x:v>05 00 08 00 00</x:v>
      </x:c>
      <x:c r="I552" s="15" t="str">
        <x:v>Write Relay register 0008</x:v>
      </x:c>
      <x:c r="J552" s="15" t="str"/>
      <x:c r="K552" s="15" t="str">
        <x:v>响应回显=05 00 08 00 00</x:v>
      </x:c>
      <x:c r="L552" s="15" t="str"/>
      <x:c r="M552" s="15" t="str">
        <x:v>candidate:layered/L3_group/step_12_homing_standby.group.json</x:v>
      </x:c>
    </x:row>
    <x:row r="553" ht="34.5" customHeight="1">
      <x:c r="A553" s="19" t="str">
        <x:v>grape_small</x:v>
      </x:c>
      <x:c r="B553" s="18" t="n">
        <x:v>12</x:v>
      </x:c>
      <x:c r="C553" s="18" t="n">
        <x:v>11</x:v>
      </x:c>
      <x:c r="D553" s="19" t="str">
        <x:v>legacy</x:v>
      </x:c>
      <x:c r="E553" s="19" t="str">
        <x:v>每配方一次</x:v>
      </x:c>
      <x:c r="F553" s="19" t="str">
        <x:v>Relay</x:v>
      </x:c>
      <x:c r="G553" s="19" t="str"/>
      <x:c r="H553" s="19" t="str">
        <x:v>05 00 09 00 00</x:v>
      </x:c>
      <x:c r="I553" s="19" t="str">
        <x:v>Write Relay register 0009</x:v>
      </x:c>
      <x:c r="J553" s="19" t="str"/>
      <x:c r="K553" s="19" t="str">
        <x:v>响应回显=05 00 09 00 00</x:v>
      </x:c>
      <x:c r="L553" s="19" t="str"/>
      <x:c r="M553" s="19" t="str">
        <x:v>candidate:layered/L3_group/step_12_homing_standby.group.json</x:v>
      </x:c>
    </x:row>
    <x:row r="554" ht="34.5" customHeight="1">
      <x:c r="A554" s="15" t="str">
        <x:v>grape_small</x:v>
      </x:c>
      <x:c r="B554" s="17" t="n">
        <x:v>12</x:v>
      </x:c>
      <x:c r="C554" s="17" t="n">
        <x:v>12</x:v>
      </x:c>
      <x:c r="D554" s="15" t="str">
        <x:v>legacy</x:v>
      </x:c>
      <x:c r="E554" s="15" t="str">
        <x:v>每配方一次</x:v>
      </x:c>
      <x:c r="F554" s="15" t="str">
        <x:v>Relay</x:v>
      </x:c>
      <x:c r="G554" s="15" t="str"/>
      <x:c r="H554" s="15" t="str">
        <x:v>05 00 0A 00 00</x:v>
      </x:c>
      <x:c r="I554" s="15" t="str">
        <x:v>Write Relay register 000A</x:v>
      </x:c>
      <x:c r="J554" s="15" t="str"/>
      <x:c r="K554" s="15" t="str">
        <x:v>响应回显=05 00 0A 00 00</x:v>
      </x:c>
      <x:c r="L554" s="15" t="str"/>
      <x:c r="M554" s="15" t="str">
        <x:v>candidate:layered/L3_group/step_12_homing_standby.group.json</x:v>
      </x:c>
    </x:row>
    <x:row r="555" ht="34.5" customHeight="1">
      <x:c r="A555" s="19" t="str">
        <x:v>grape_small</x:v>
      </x:c>
      <x:c r="B555" s="18" t="n">
        <x:v>12</x:v>
      </x:c>
      <x:c r="C555" s="18" t="n">
        <x:v>13</x:v>
      </x:c>
      <x:c r="D555" s="19" t="str">
        <x:v>legacy</x:v>
      </x:c>
      <x:c r="E555" s="19" t="str">
        <x:v>每配方一次</x:v>
      </x:c>
      <x:c r="F555" s="19" t="str">
        <x:v>Relay</x:v>
      </x:c>
      <x:c r="G555" s="19" t="str"/>
      <x:c r="H555" s="19" t="str">
        <x:v>05 00 0B 00 00</x:v>
      </x:c>
      <x:c r="I555" s="19" t="str">
        <x:v>Write Relay register 000B</x:v>
      </x:c>
      <x:c r="J555" s="19" t="str"/>
      <x:c r="K555" s="19" t="str">
        <x:v>响应回显=05 00 0B 00 00</x:v>
      </x:c>
      <x:c r="L555" s="19" t="str"/>
      <x:c r="M555" s="19" t="str">
        <x:v>candidate:layered/L3_group/step_12_homing_standby.group.json</x:v>
      </x:c>
    </x:row>
    <x:row r="556" ht="34.5" customHeight="1">
      <x:c r="A556" s="15" t="str">
        <x:v>grape_small</x:v>
      </x:c>
      <x:c r="B556" s="17" t="n">
        <x:v>12</x:v>
      </x:c>
      <x:c r="C556" s="17" t="n">
        <x:v>14</x:v>
      </x:c>
      <x:c r="D556" s="15" t="str">
        <x:v>legacy</x:v>
      </x:c>
      <x:c r="E556" s="15" t="str">
        <x:v>每配方一次</x:v>
      </x:c>
      <x:c r="F556" s="15" t="str">
        <x:v>Relay</x:v>
      </x:c>
      <x:c r="G556" s="15" t="str"/>
      <x:c r="H556" s="15" t="str">
        <x:v>05 00 0C 00 00</x:v>
      </x:c>
      <x:c r="I556" s="15" t="str">
        <x:v>Write Relay register 000C</x:v>
      </x:c>
      <x:c r="J556" s="15" t="str"/>
      <x:c r="K556" s="15" t="str">
        <x:v>响应回显=05 00 0C 00 00</x:v>
      </x:c>
      <x:c r="L556" s="15" t="str"/>
      <x:c r="M556" s="15" t="str">
        <x:v>candidate:layered/L3_group/step_12_homing_standby.group.json</x:v>
      </x:c>
    </x:row>
    <x:row r="557" ht="34.5" customHeight="1">
      <x:c r="A557" s="19" t="str">
        <x:v>grape_small</x:v>
      </x:c>
      <x:c r="B557" s="18" t="n">
        <x:v>12</x:v>
      </x:c>
      <x:c r="C557" s="18" t="n">
        <x:v>15</x:v>
      </x:c>
      <x:c r="D557" s="19" t="str">
        <x:v>legacy</x:v>
      </x:c>
      <x:c r="E557" s="19" t="str">
        <x:v>每配方一次</x:v>
      </x:c>
      <x:c r="F557" s="19" t="str">
        <x:v>Relay</x:v>
      </x:c>
      <x:c r="G557" s="19" t="str"/>
      <x:c r="H557" s="19" t="str">
        <x:v>05 00 0D 00 00</x:v>
      </x:c>
      <x:c r="I557" s="19" t="str">
        <x:v>Write Relay register 000D</x:v>
      </x:c>
      <x:c r="J557" s="19" t="str"/>
      <x:c r="K557" s="19" t="str">
        <x:v>响应回显=05 00 0D 00 00</x:v>
      </x:c>
      <x:c r="L557" s="19" t="str"/>
      <x:c r="M557" s="19" t="str">
        <x:v>candidate:layered/L3_group/step_12_homing_standby.group.json</x:v>
      </x:c>
    </x:row>
    <x:row r="558" ht="34.5" customHeight="1">
      <x:c r="A558" s="15" t="str">
        <x:v>grape_small</x:v>
      </x:c>
      <x:c r="B558" s="17" t="n">
        <x:v>12</x:v>
      </x:c>
      <x:c r="C558" s="17" t="n">
        <x:v>16</x:v>
      </x:c>
      <x:c r="D558" s="15" t="str">
        <x:v>legacy</x:v>
      </x:c>
      <x:c r="E558" s="15" t="str">
        <x:v>每配方一次</x:v>
      </x:c>
      <x:c r="F558" s="15" t="str">
        <x:v>Relay</x:v>
      </x:c>
      <x:c r="G558" s="15" t="str"/>
      <x:c r="H558" s="15" t="str">
        <x:v>05 00 0E 00 00</x:v>
      </x:c>
      <x:c r="I558" s="15" t="str">
        <x:v>Write Relay register 000E</x:v>
      </x:c>
      <x:c r="J558" s="15" t="str"/>
      <x:c r="K558" s="15" t="str">
        <x:v>响应回显=05 00 0E 00 00</x:v>
      </x:c>
      <x:c r="L558" s="15" t="str"/>
      <x:c r="M558" s="15" t="str">
        <x:v>candidate:layered/L3_group/step_12_homing_standby.group.json</x:v>
      </x:c>
    </x:row>
    <x:row r="559" ht="34.5" customHeight="1">
      <x:c r="A559" s="19" t="str">
        <x:v>grape_small</x:v>
      </x:c>
      <x:c r="B559" s="18" t="n">
        <x:v>12</x:v>
      </x:c>
      <x:c r="C559" s="18" t="n">
        <x:v>17</x:v>
      </x:c>
      <x:c r="D559" s="19" t="str">
        <x:v>trigger</x:v>
      </x:c>
      <x:c r="E559" s="19" t="str">
        <x:v>每配方一次</x:v>
      </x:c>
      <x:c r="F559" s="19" t="str">
        <x:v>X</x:v>
      </x:c>
      <x:c r="G559" s="19" t="str"/>
      <x:c r="H559" s="19" t="str">
        <x:v>FC06 0x6002=16</x:v>
      </x:c>
      <x:c r="I559" s="19" t="str">
        <x:v>触发预设PR0</x:v>
      </x:c>
      <x:c r="J559" s="19" t="str"/>
      <x:c r="K559" s="19" t="str">
        <x:v>写入响应回显</x:v>
      </x:c>
      <x:c r="L559" s="19" t="str"/>
      <x:c r="M559" s="19" t="str">
        <x:v>candidate:layered/L3_group/step_12_homing_standby.group.json</x:v>
      </x:c>
    </x:row>
    <x:row r="560" ht="34.5" customHeight="1">
      <x:c r="A560" s="15" t="str">
        <x:v>grape_small</x:v>
      </x:c>
      <x:c r="B560" s="17" t="n">
        <x:v>12</x:v>
      </x:c>
      <x:c r="C560" s="17" t="n">
        <x:v>18</x:v>
      </x:c>
      <x:c r="D560" s="15" t="str">
        <x:v>trigger</x:v>
      </x:c>
      <x:c r="E560" s="15" t="str">
        <x:v>每配方一次</x:v>
      </x:c>
      <x:c r="F560" s="15" t="str">
        <x:v>Y1</x:v>
      </x:c>
      <x:c r="G560" s="15" t="str"/>
      <x:c r="H560" s="15" t="str">
        <x:v>FC06 0x6002=16</x:v>
      </x:c>
      <x:c r="I560" s="15" t="str">
        <x:v>触发预设PR0</x:v>
      </x:c>
      <x:c r="J560" s="15" t="str"/>
      <x:c r="K560" s="15" t="str">
        <x:v>写入响应回显</x:v>
      </x:c>
      <x:c r="L560" s="15" t="str"/>
      <x:c r="M560" s="15" t="str">
        <x:v>candidate:layered/L3_group/step_12_homing_standby.group.json</x:v>
      </x:c>
    </x:row>
    <x:row r="561" ht="34.5" customHeight="1">
      <x:c r="A561" s="19" t="str">
        <x:v>grape_small</x:v>
      </x:c>
      <x:c r="B561" s="18" t="n">
        <x:v>12</x:v>
      </x:c>
      <x:c r="C561" s="18" t="n">
        <x:v>19</x:v>
      </x:c>
      <x:c r="D561" s="19" t="str">
        <x:v>trigger</x:v>
      </x:c>
      <x:c r="E561" s="19" t="str">
        <x:v>每配方一次</x:v>
      </x:c>
      <x:c r="F561" s="19" t="str">
        <x:v>Y2</x:v>
      </x:c>
      <x:c r="G561" s="19" t="str"/>
      <x:c r="H561" s="19" t="str">
        <x:v>FC06 0x6002=16</x:v>
      </x:c>
      <x:c r="I561" s="19" t="str">
        <x:v>触发预设PR0</x:v>
      </x:c>
      <x:c r="J561" s="19" t="str"/>
      <x:c r="K561" s="19" t="str">
        <x:v>写入响应回显</x:v>
      </x:c>
      <x:c r="L561" s="19" t="str"/>
      <x:c r="M561" s="19" t="str">
        <x:v>candidate:layered/L3_group/step_12_homing_standby.group.json</x:v>
      </x:c>
    </x:row>
    <x:row r="562" ht="34.5" customHeight="1">
      <x:c r="A562" s="15" t="str">
        <x:v>grape_small</x:v>
      </x:c>
      <x:c r="B562" s="17" t="n">
        <x:v>12</x:v>
      </x:c>
      <x:c r="C562" s="17" t="n">
        <x:v>20</x:v>
      </x:c>
      <x:c r="D562" s="15" t="str">
        <x:v>trigger</x:v>
      </x:c>
      <x:c r="E562" s="15" t="str">
        <x:v>每配方一次</x:v>
      </x:c>
      <x:c r="F562" s="15" t="str">
        <x:v>Z</x:v>
      </x:c>
      <x:c r="G562" s="15" t="str"/>
      <x:c r="H562" s="15" t="str">
        <x:v>FC06 0x6002=16</x:v>
      </x:c>
      <x:c r="I562" s="15" t="str">
        <x:v>触发预设PR0</x:v>
      </x:c>
      <x:c r="J562" s="15" t="str"/>
      <x:c r="K562" s="15" t="str">
        <x:v>写入响应回显</x:v>
      </x:c>
      <x:c r="L562" s="15" t="str"/>
      <x:c r="M562" s="15" t="str">
        <x:v>candidate:layered/L3_group/step_12_homing_standby.group.json</x:v>
      </x:c>
    </x:row>
    <x:row r="563" ht="34.5" customHeight="1">
      <x:c r="A563" s="19" t="str">
        <x:v>grape_small</x:v>
      </x:c>
      <x:c r="B563" s="18" t="n">
        <x:v>12</x:v>
      </x:c>
      <x:c r="C563" s="18" t="n">
        <x:v>21</x:v>
      </x:c>
      <x:c r="D563" s="19" t="str">
        <x:v>ready</x:v>
      </x:c>
      <x:c r="E563" s="19" t="str">
        <x:v>每配方一次</x:v>
      </x:c>
      <x:c r="F563" s="19" t="str">
        <x:v>X</x:v>
      </x:c>
      <x:c r="G563" s="19" t="str"/>
      <x:c r="H563" s="19" t="str">
        <x:v>FC04 0x0000</x:v>
      </x:c>
      <x:c r="I563" s="19" t="str">
        <x:v>等待设备完成</x:v>
      </x:c>
      <x:c r="J563" s="19" t="str">
        <x:v>每20ms；截止4000ms</x:v>
      </x:c>
      <x:c r="K563" s="19" t="str">
        <x:v>04 02 00 01</x:v>
      </x:c>
      <x:c r="L563" s="19" t="str">
        <x:v>HOME_TIMEOUT</x:v>
      </x:c>
      <x:c r="M563" s="19" t="str">
        <x:v>candidate:layered/L3_group/step_12_homing_standby.group.json</x:v>
      </x:c>
    </x:row>
    <x:row r="564" ht="34.5" customHeight="1">
      <x:c r="A564" s="15" t="str">
        <x:v>grape_small</x:v>
      </x:c>
      <x:c r="B564" s="17" t="n">
        <x:v>12</x:v>
      </x:c>
      <x:c r="C564" s="17" t="n">
        <x:v>22</x:v>
      </x:c>
      <x:c r="D564" s="15" t="str">
        <x:v>ready</x:v>
      </x:c>
      <x:c r="E564" s="15" t="str">
        <x:v>每配方一次</x:v>
      </x:c>
      <x:c r="F564" s="15" t="str">
        <x:v>Y1</x:v>
      </x:c>
      <x:c r="G564" s="15" t="str"/>
      <x:c r="H564" s="15" t="str">
        <x:v>FC04 0x0000</x:v>
      </x:c>
      <x:c r="I564" s="15" t="str">
        <x:v>等待设备完成</x:v>
      </x:c>
      <x:c r="J564" s="15" t="str">
        <x:v>每20ms；截止4000ms</x:v>
      </x:c>
      <x:c r="K564" s="15" t="str">
        <x:v>04 02 00 01</x:v>
      </x:c>
      <x:c r="L564" s="15" t="str">
        <x:v>HOME_TIMEOUT</x:v>
      </x:c>
      <x:c r="M564" s="15" t="str">
        <x:v>candidate:layered/L3_group/step_12_homing_standby.group.json</x:v>
      </x:c>
    </x:row>
    <x:row r="565" ht="34.5" customHeight="1">
      <x:c r="A565" s="19" t="str">
        <x:v>grape_small</x:v>
      </x:c>
      <x:c r="B565" s="18" t="n">
        <x:v>12</x:v>
      </x:c>
      <x:c r="C565" s="18" t="n">
        <x:v>23</x:v>
      </x:c>
      <x:c r="D565" s="19" t="str">
        <x:v>ready</x:v>
      </x:c>
      <x:c r="E565" s="19" t="str">
        <x:v>每配方一次</x:v>
      </x:c>
      <x:c r="F565" s="19" t="str">
        <x:v>Y2</x:v>
      </x:c>
      <x:c r="G565" s="19" t="str"/>
      <x:c r="H565" s="19" t="str">
        <x:v>FC04 0x0000</x:v>
      </x:c>
      <x:c r="I565" s="19" t="str">
        <x:v>等待设备完成</x:v>
      </x:c>
      <x:c r="J565" s="19" t="str">
        <x:v>每20ms；截止4000ms</x:v>
      </x:c>
      <x:c r="K565" s="19" t="str">
        <x:v>04 02 00 01</x:v>
      </x:c>
      <x:c r="L565" s="19" t="str">
        <x:v>HOME_TIMEOUT</x:v>
      </x:c>
      <x:c r="M565" s="19" t="str">
        <x:v>candidate:layered/L3_group/step_12_homing_standby.group.json</x:v>
      </x:c>
    </x:row>
    <x:row r="566" ht="34.5" customHeight="1">
      <x:c r="A566" s="15" t="str">
        <x:v>grape_small</x:v>
      </x:c>
      <x:c r="B566" s="17" t="n">
        <x:v>12</x:v>
      </x:c>
      <x:c r="C566" s="17" t="n">
        <x:v>24</x:v>
      </x:c>
      <x:c r="D566" s="15" t="str">
        <x:v>ready</x:v>
      </x:c>
      <x:c r="E566" s="15" t="str">
        <x:v>每配方一次</x:v>
      </x:c>
      <x:c r="F566" s="15" t="str">
        <x:v>Z</x:v>
      </x:c>
      <x:c r="G566" s="15" t="str"/>
      <x:c r="H566" s="15" t="str">
        <x:v>FC04 0x0000</x:v>
      </x:c>
      <x:c r="I566" s="15" t="str">
        <x:v>等待设备完成</x:v>
      </x:c>
      <x:c r="J566" s="15" t="str">
        <x:v>每20ms；截止4000ms</x:v>
      </x:c>
      <x:c r="K566" s="15" t="str">
        <x:v>04 02 00 01</x:v>
      </x:c>
      <x:c r="L566" s="15" t="str">
        <x:v>HOME_TIMEOUT</x:v>
      </x:c>
      <x:c r="M566" s="15" t="str">
        <x:v>candidate:layered/L3_group/step_12_homing_standby.group.json</x:v>
      </x:c>
    </x:row>
    <x:row r="567" ht="34.5" customHeight="1">
      <x:c r="A567" s="19" t="str">
        <x:v>grape_small</x:v>
      </x:c>
      <x:c r="B567" s="18" t="n">
        <x:v>12</x:v>
      </x:c>
      <x:c r="C567" s="18" t="n">
        <x:v>25</x:v>
      </x:c>
      <x:c r="D567" s="19" t="str">
        <x:v>legacy</x:v>
      </x:c>
      <x:c r="E567" s="19" t="str">
        <x:v>每配方一次</x:v>
      </x:c>
      <x:c r="F567" s="19" t="str"/>
      <x:c r="G567" s="19" t="str"/>
      <x:c r="H567" s="19" t="str">
        <x:v>last_x_pr</x:v>
      </x:c>
      <x:c r="I567" s="19" t="str">
        <x:v>设置变量=0</x:v>
      </x:c>
      <x:c r="J567" s="19" t="str"/>
      <x:c r="K567" s="19" t="str"/>
      <x:c r="L567" s="19" t="str"/>
      <x:c r="M567" s="19" t="str">
        <x:v>candidate:layered/L3_group/step_12_homing_standby.group.json</x:v>
      </x:c>
    </x:row>
    <x:row r="568" ht="34.5" customHeight="1">
      <x:c r="A568" s="15" t="str">
        <x:v>grape_small</x:v>
      </x:c>
      <x:c r="B568" s="17" t="n">
        <x:v>12</x:v>
      </x:c>
      <x:c r="C568" s="17" t="n">
        <x:v>26</x:v>
      </x:c>
      <x:c r="D568" s="15" t="str">
        <x:v>legacy</x:v>
      </x:c>
      <x:c r="E568" s="15" t="str">
        <x:v>每配方一次</x:v>
      </x:c>
      <x:c r="F568" s="15" t="str"/>
      <x:c r="G568" s="15" t="str"/>
      <x:c r="H568" s="15" t="str">
        <x:v>last_y_pr</x:v>
      </x:c>
      <x:c r="I568" s="15" t="str">
        <x:v>设置变量=0</x:v>
      </x:c>
      <x:c r="J568" s="15" t="str"/>
      <x:c r="K568" s="15" t="str"/>
      <x:c r="L568" s="15" t="str"/>
      <x:c r="M568" s="15" t="str">
        <x:v>candidate:layered/L3_group/step_12_homing_standby.group.json</x:v>
      </x:c>
    </x:row>
    <x:row r="569" ht="34.5" customHeight="1">
      <x:c r="A569" s="19" t="str">
        <x:v>grape_small</x:v>
      </x:c>
      <x:c r="B569" s="18" t="n">
        <x:v>12</x:v>
      </x:c>
      <x:c r="C569" s="18" t="n">
        <x:v>27</x:v>
      </x:c>
      <x:c r="D569" s="19" t="str">
        <x:v>legacy</x:v>
      </x:c>
      <x:c r="E569" s="19" t="str">
        <x:v>每配方一次</x:v>
      </x:c>
      <x:c r="F569" s="19" t="str"/>
      <x:c r="G569" s="19" t="str"/>
      <x:c r="H569" s="19" t="str">
        <x:v>last_z_pr</x:v>
      </x:c>
      <x:c r="I569" s="19" t="str">
        <x:v>设置变量=0</x:v>
      </x:c>
      <x:c r="J569" s="19" t="str"/>
      <x:c r="K569" s="19" t="str"/>
      <x:c r="L569" s="19" t="str"/>
      <x:c r="M569" s="19" t="str">
        <x:v>candidate:layered/L3_group/step_12_homing_standby.group.json</x:v>
      </x:c>
    </x:row>
    <x:row r="570" ht="34.5" customHeight="1">
      <x:c r="A570" s="15" t="str">
        <x:v>grape_small</x:v>
      </x:c>
      <x:c r="B570" s="17" t="n">
        <x:v>12</x:v>
      </x:c>
      <x:c r="C570" s="17" t="n">
        <x:v>28</x:v>
      </x:c>
      <x:c r="D570" s="15" t="str">
        <x:v>refresh</x:v>
      </x:c>
      <x:c r="E570" s="15" t="str">
        <x:v>每配方一次</x:v>
      </x:c>
      <x:c r="F570" s="15" t="str">
        <x:v>X / Y1 / Y2 / Z</x:v>
      </x:c>
      <x:c r="G570" s="15" t="str"/>
      <x:c r="H570" s="15" t="str">
        <x:v>FC03 0x602C, 2 registers</x:v>
      </x:c>
      <x:c r="I570" s="15" t="str">
        <x:v>缓存四电机坐标；更新centerX/centerY/centerZ（centerY=Y1）</x:v>
      </x:c>
      <x:c r="J570" s="15" t="str"/>
      <x:c r="K570" s="15" t="str"/>
      <x:c r="L570" s="15" t="str"/>
      <x:c r="M570" s="15" t="str">
        <x:v>candidate:layered/L3_group/step_12_homing_standby.group.json</x:v>
      </x:c>
    </x:row>
    <x:row r="571" ht="34.5" customHeight="1">
      <x:c r="A571" s="19" t="str">
        <x:v>grape_small</x:v>
      </x:c>
      <x:c r="B571" s="18" t="n">
        <x:v>12</x:v>
      </x:c>
      <x:c r="C571" s="18" t="n">
        <x:v>29</x:v>
      </x:c>
      <x:c r="D571" s="19" t="str">
        <x:v>legacy</x:v>
      </x:c>
      <x:c r="E571" s="19" t="str">
        <x:v>每配方一次</x:v>
      </x:c>
      <x:c r="F571" s="19" t="str">
        <x:v>X</x:v>
      </x:c>
      <x:c r="G571" s="19" t="str"/>
      <x:c r="H571" s="19" t="str">
        <x:v>03 22 03 00 01；解码={"valueStartByte":2,"valueLength":2,"valueEndian":"big","valueType":"int"}</x:v>
      </x:c>
      <x:c r="I571" s="19" t="str">
        <x:v>X alarm self-check</x:v>
      </x:c>
      <x:c r="J571" s="19" t="str"/>
      <x:c r="K571" s="19" t="str">
        <x:v>equal 0</x:v>
      </x:c>
      <x:c r="L571" s="19" t="str">
        <x:v>X_ALARM</x:v>
      </x:c>
      <x:c r="M571" s="19" t="str">
        <x:v>candidate:layered/L3_group/step_12_homing_standby.group.json</x:v>
      </x:c>
    </x:row>
    <x:row r="572" ht="34.5" customHeight="1">
      <x:c r="A572" s="15" t="str">
        <x:v>grape_small</x:v>
      </x:c>
      <x:c r="B572" s="17" t="n">
        <x:v>12</x:v>
      </x:c>
      <x:c r="C572" s="17" t="n">
        <x:v>30</x:v>
      </x:c>
      <x:c r="D572" s="15" t="str">
        <x:v>legacy</x:v>
      </x:c>
      <x:c r="E572" s="15" t="str">
        <x:v>每配方一次</x:v>
      </x:c>
      <x:c r="F572" s="15" t="str">
        <x:v>Y1</x:v>
      </x:c>
      <x:c r="G572" s="15" t="str"/>
      <x:c r="H572" s="15" t="str">
        <x:v>03 22 03 00 01；解码={"valueStartByte":2,"valueLength":2,"valueEndian":"big","valueType":"int"}</x:v>
      </x:c>
      <x:c r="I572" s="15" t="str">
        <x:v>Y1: Y alarm self-check</x:v>
      </x:c>
      <x:c r="J572" s="15" t="str"/>
      <x:c r="K572" s="15" t="str">
        <x:v>equal 0</x:v>
      </x:c>
      <x:c r="L572" s="15" t="str">
        <x:v>Y_ALARM</x:v>
      </x:c>
      <x:c r="M572" s="15" t="str">
        <x:v>candidate:layered/L3_group/step_12_homing_standby.group.json</x:v>
      </x:c>
    </x:row>
    <x:row r="573" ht="34.5" customHeight="1">
      <x:c r="A573" s="19" t="str">
        <x:v>grape_small</x:v>
      </x:c>
      <x:c r="B573" s="18" t="n">
        <x:v>12</x:v>
      </x:c>
      <x:c r="C573" s="18" t="n">
        <x:v>31</x:v>
      </x:c>
      <x:c r="D573" s="19" t="str">
        <x:v>legacy</x:v>
      </x:c>
      <x:c r="E573" s="19" t="str">
        <x:v>每配方一次</x:v>
      </x:c>
      <x:c r="F573" s="19" t="str">
        <x:v>Y2</x:v>
      </x:c>
      <x:c r="G573" s="19" t="str"/>
      <x:c r="H573" s="19" t="str">
        <x:v>03 22 03 00 01；解码={"valueStartByte":2,"valueLength":2,"valueEndian":"big","valueType":"int"}</x:v>
      </x:c>
      <x:c r="I573" s="19" t="str">
        <x:v>Y2: Y alarm self-check</x:v>
      </x:c>
      <x:c r="J573" s="19" t="str"/>
      <x:c r="K573" s="19" t="str">
        <x:v>equal 0</x:v>
      </x:c>
      <x:c r="L573" s="19" t="str">
        <x:v>Y_ALARM_Y2</x:v>
      </x:c>
      <x:c r="M573" s="19" t="str">
        <x:v>candidate:layered/L3_group/step_12_homing_standby.group.json</x:v>
      </x:c>
    </x:row>
    <x:row r="574" ht="34.5" customHeight="1">
      <x:c r="A574" s="15" t="str">
        <x:v>grape_small</x:v>
      </x:c>
      <x:c r="B574" s="17" t="n">
        <x:v>12</x:v>
      </x:c>
      <x:c r="C574" s="17" t="n">
        <x:v>32</x:v>
      </x:c>
      <x:c r="D574" s="15" t="str">
        <x:v>legacy</x:v>
      </x:c>
      <x:c r="E574" s="15" t="str">
        <x:v>每配方一次</x:v>
      </x:c>
      <x:c r="F574" s="15" t="str">
        <x:v>Z</x:v>
      </x:c>
      <x:c r="G574" s="15" t="str"/>
      <x:c r="H574" s="15" t="str">
        <x:v>03 22 03 00 01；解码={"valueStartByte":2,"valueLength":2,"valueEndian":"big","valueType":"int"}</x:v>
      </x:c>
      <x:c r="I574" s="15" t="str">
        <x:v>Z alarm self-check</x:v>
      </x:c>
      <x:c r="J574" s="15" t="str"/>
      <x:c r="K574" s="15" t="str">
        <x:v>equal 0</x:v>
      </x:c>
      <x:c r="L574" s="15" t="str">
        <x:v>Z_ALARM</x:v>
      </x:c>
      <x:c r="M574" s="15" t="str">
        <x:v>candidate:layered/L3_group/step_12_homing_standby.group.json</x:v>
      </x:c>
    </x:row>
    <x:row r="575" ht="34.5" customHeight="1">
      <x:c r="A575" s="19" t="str">
        <x:v>grape_small</x:v>
      </x:c>
      <x:c r="B575" s="18" t="n">
        <x:v>12</x:v>
      </x:c>
      <x:c r="C575" s="18" t="n">
        <x:v>33</x:v>
      </x:c>
      <x:c r="D575" s="19" t="str">
        <x:v>legacy</x:v>
      </x:c>
      <x:c r="E575" s="19" t="str">
        <x:v>每配方一次</x:v>
      </x:c>
      <x:c r="F575" s="19" t="str"/>
      <x:c r="G575" s="19" t="str"/>
      <x:c r="H575" s="19" t="str">
        <x:v>SystemState</x:v>
      </x:c>
      <x:c r="I575" s="19" t="str">
        <x:v>更新UI=standby</x:v>
      </x:c>
      <x:c r="J575" s="19" t="str"/>
      <x:c r="K575" s="19" t="str"/>
      <x:c r="L575" s="19" t="str"/>
      <x:c r="M575" s="19" t="str">
        <x:v>candidate:layered/L3_group/step_12_homing_standby.group.json</x:v>
      </x:c>
    </x:row>
  </x:sheetData>
  <x:pageMargins left="0.7" right="0.7" top="0.75" bottom="0.75" header="0.3" footer="0.3"/>
  <x:tableParts count="1">
    <x:tablePart xmlns:r="http://schemas.openxmlformats.org/officeDocument/2006/relationships" r:id="R1eb2f13e562e406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0" hidden="0" customWidth="1"/>
    <x:col min="2" max="2" width="13.130000114440918" hidden="0" customWidth="1"/>
    <x:col min="3" max="3" width="12.5" hidden="0" customWidth="1"/>
    <x:col min="4" max="4" width="11.880000114440918" hidden="0" customWidth="1"/>
    <x:col min="5" max="5" width="13.75" hidden="0" customWidth="1"/>
    <x:col min="6" max="6" width="15.630000114440918" hidden="0" customWidth="1"/>
    <x:col min="7" max="7" width="8.75" hidden="0" customWidth="1"/>
    <x:col min="8" max="8" width="11.880000114440918" hidden="0" customWidth="1"/>
    <x:col min="9" max="9" width="11.25" hidden="0" customWidth="1"/>
    <x:col min="10" max="10" width="15" hidden="0" customWidth="1"/>
    <x:col min="11" max="11" width="18.75" hidden="0" customWidth="1"/>
    <x:col min="12" max="12" width="11.25" hidden="0" customWidth="1"/>
    <x:col min="13" max="13" width="11.25" hidden="0" customWidth="1"/>
    <x:col min="14" max="14" width="11.25" hidden="0" customWidth="1"/>
    <x:col min="15" max="15" width="25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5.5" customHeight="1">
      <x:c r="A2" s="4" t="str">
        <x:v>六个保留配方与三个250 mL新增配方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 ht="21" customHeight="1">
      <x:c r="A3" s="6" t="str">
        <x:v>灌装时间=向上取整(1000×容量/流量)；总数量和总容量可由公式复核。批数/每批数量元数据对应固定L3循环，并非动态控制循环。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1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31.5" customHeight="1">
      <x:c r="A5" s="11" t="str">
        <x:v>配方</x:v>
      </x:c>
      <x:c r="B5" s="12" t="str">
        <x:v>口味</x:v>
      </x:c>
      <x:c r="C5" s="12" t="str">
        <x:v>规格</x:v>
      </x:c>
      <x:c r="D5" s="12" t="str">
        <x:v>容量mL</x:v>
      </x:c>
      <x:c r="E5" s="12" t="str">
        <x:v>流量mL/s</x:v>
      </x:c>
      <x:c r="F5" s="12" t="str">
        <x:v>灌装时间ms</x:v>
      </x:c>
      <x:c r="G5" s="12" t="str">
        <x:v>批数</x:v>
      </x:c>
      <x:c r="H5" s="12" t="str">
        <x:v>每批数量</x:v>
      </x:c>
      <x:c r="I5" s="12" t="str">
        <x:v>总数量</x:v>
      </x:c>
      <x:c r="J5" s="12" t="str">
        <x:v>总容量mL</x:v>
      </x:c>
      <x:c r="K5" s="12" t="str">
        <x:v>封盖模式</x:v>
      </x:c>
      <x:c r="L5" s="12" t="str">
        <x:v>入料PR</x:v>
      </x:c>
      <x:c r="M5" s="12" t="str">
        <x:v>封盖PR</x:v>
      </x:c>
      <x:c r="N5" s="12" t="str">
        <x:v>出料PR</x:v>
      </x:c>
      <x:c r="O5" s="13" t="str">
        <x:v>来源</x:v>
      </x:c>
    </x:row>
    <x:row r="6" ht="22.5" customHeight="1">
      <x:c r="A6" s="15" t="str">
        <x:v>orange_family</x:v>
      </x:c>
      <x:c r="B6" s="15" t="str">
        <x:v>orange</x:v>
      </x:c>
      <x:c r="C6" s="15" t="str">
        <x:v>family</x:v>
      </x:c>
      <x:c r="D6" s="17" t="n">
        <x:v>2000</x:v>
      </x:c>
      <x:c r="E6" s="17" t="n">
        <x:v>200</x:v>
      </x:c>
      <x:c r="F6" s="17" t="n">
        <x:f>ROUNDUP(1000*D6/E6,0)</x:f>
        <x:v>10000</x:v>
      </x:c>
      <x:c r="G6" s="17" t="n">
        <x:v>2</x:v>
      </x:c>
      <x:c r="H6" s="17" t="n">
        <x:v>6</x:v>
      </x:c>
      <x:c r="I6" s="17" t="n">
        <x:f>G6*H6</x:f>
        <x:v>12</x:v>
      </x:c>
      <x:c r="J6" s="17" t="n">
        <x:f>D6*I6</x:f>
        <x:v>24000</x:v>
      </x:c>
      <x:c r="K6" s="15" t="str">
        <x:v>screw_large</x:v>
      </x:c>
      <x:c r="L6" s="17" t="n">
        <x:v>1</x:v>
      </x:c>
      <x:c r="M6" s="17" t="n">
        <x:v>1</x:v>
      </x:c>
      <x:c r="N6" s="17" t="n">
        <x:v>4</x:v>
      </x:c>
      <x:c r="O6" s="15" t="str">
        <x:v>example4保留</x:v>
      </x:c>
    </x:row>
    <x:row r="7" ht="22.5" customHeight="1">
      <x:c r="A7" s="19" t="str">
        <x:v>orange_can</x:v>
      </x:c>
      <x:c r="B7" s="19" t="str">
        <x:v>orange</x:v>
      </x:c>
      <x:c r="C7" s="19" t="str">
        <x:v>can</x:v>
      </x:c>
      <x:c r="D7" s="18" t="n">
        <x:v>330</x:v>
      </x:c>
      <x:c r="E7" s="18" t="n">
        <x:v>200</x:v>
      </x:c>
      <x:c r="F7" s="18" t="n">
        <x:f>ROUNDUP(1000*D7/E7,0)</x:f>
        <x:v>1650</x:v>
      </x:c>
      <x:c r="G7" s="18" t="n">
        <x:v>2</x:v>
      </x:c>
      <x:c r="H7" s="18" t="n">
        <x:v>6</x:v>
      </x:c>
      <x:c r="I7" s="18" t="n">
        <x:f>G7*H7</x:f>
        <x:v>12</x:v>
      </x:c>
      <x:c r="J7" s="18" t="n">
        <x:f>D7*I7</x:f>
        <x:v>3960</x:v>
      </x:c>
      <x:c r="K7" s="19" t="str">
        <x:v>seam_can</x:v>
      </x:c>
      <x:c r="L7" s="18" t="n">
        <x:v>2</x:v>
      </x:c>
      <x:c r="M7" s="18" t="n">
        <x:v>2</x:v>
      </x:c>
      <x:c r="N7" s="18" t="n">
        <x:v>5</x:v>
      </x:c>
      <x:c r="O7" s="19" t="str">
        <x:v>example4保留</x:v>
      </x:c>
    </x:row>
    <x:row r="8" ht="22.5" customHeight="1">
      <x:c r="A8" s="15" t="str">
        <x:v>apple_family</x:v>
      </x:c>
      <x:c r="B8" s="15" t="str">
        <x:v>apple</x:v>
      </x:c>
      <x:c r="C8" s="15" t="str">
        <x:v>family</x:v>
      </x:c>
      <x:c r="D8" s="17" t="n">
        <x:v>2000</x:v>
      </x:c>
      <x:c r="E8" s="17" t="n">
        <x:v>180</x:v>
      </x:c>
      <x:c r="F8" s="17" t="n">
        <x:f>ROUNDUP(1000*D8/E8,0)</x:f>
        <x:v>11112</x:v>
      </x:c>
      <x:c r="G8" s="17" t="n">
        <x:v>2</x:v>
      </x:c>
      <x:c r="H8" s="17" t="n">
        <x:v>6</x:v>
      </x:c>
      <x:c r="I8" s="17" t="n">
        <x:f>G8*H8</x:f>
        <x:v>12</x:v>
      </x:c>
      <x:c r="J8" s="17" t="n">
        <x:f>D8*I8</x:f>
        <x:v>24000</x:v>
      </x:c>
      <x:c r="K8" s="15" t="str">
        <x:v>screw_large</x:v>
      </x:c>
      <x:c r="L8" s="17" t="n">
        <x:v>1</x:v>
      </x:c>
      <x:c r="M8" s="17" t="n">
        <x:v>1</x:v>
      </x:c>
      <x:c r="N8" s="17" t="n">
        <x:v>4</x:v>
      </x:c>
      <x:c r="O8" s="15" t="str">
        <x:v>example4保留</x:v>
      </x:c>
    </x:row>
    <x:row r="9" ht="22.5" customHeight="1">
      <x:c r="A9" s="19" t="str">
        <x:v>apple_can</x:v>
      </x:c>
      <x:c r="B9" s="19" t="str">
        <x:v>apple</x:v>
      </x:c>
      <x:c r="C9" s="19" t="str">
        <x:v>can</x:v>
      </x:c>
      <x:c r="D9" s="18" t="n">
        <x:v>330</x:v>
      </x:c>
      <x:c r="E9" s="18" t="n">
        <x:v>180</x:v>
      </x:c>
      <x:c r="F9" s="18" t="n">
        <x:f>ROUNDUP(1000*D9/E9,0)</x:f>
        <x:v>1834</x:v>
      </x:c>
      <x:c r="G9" s="18" t="n">
        <x:v>2</x:v>
      </x:c>
      <x:c r="H9" s="18" t="n">
        <x:v>6</x:v>
      </x:c>
      <x:c r="I9" s="18" t="n">
        <x:f>G9*H9</x:f>
        <x:v>12</x:v>
      </x:c>
      <x:c r="J9" s="18" t="n">
        <x:f>D9*I9</x:f>
        <x:v>3960</x:v>
      </x:c>
      <x:c r="K9" s="19" t="str">
        <x:v>seam_can</x:v>
      </x:c>
      <x:c r="L9" s="18" t="n">
        <x:v>2</x:v>
      </x:c>
      <x:c r="M9" s="18" t="n">
        <x:v>2</x:v>
      </x:c>
      <x:c r="N9" s="18" t="n">
        <x:v>5</x:v>
      </x:c>
      <x:c r="O9" s="19" t="str">
        <x:v>example4保留</x:v>
      </x:c>
    </x:row>
    <x:row r="10" ht="22.5" customHeight="1">
      <x:c r="A10" s="15" t="str">
        <x:v>grape_family</x:v>
      </x:c>
      <x:c r="B10" s="15" t="str">
        <x:v>grape</x:v>
      </x:c>
      <x:c r="C10" s="15" t="str">
        <x:v>family</x:v>
      </x:c>
      <x:c r="D10" s="17" t="n">
        <x:v>2000</x:v>
      </x:c>
      <x:c r="E10" s="17" t="n">
        <x:v>220</x:v>
      </x:c>
      <x:c r="F10" s="17" t="n">
        <x:f>ROUNDUP(1000*D10/E10,0)</x:f>
        <x:v>9091</x:v>
      </x:c>
      <x:c r="G10" s="17" t="n">
        <x:v>2</x:v>
      </x:c>
      <x:c r="H10" s="17" t="n">
        <x:v>6</x:v>
      </x:c>
      <x:c r="I10" s="17" t="n">
        <x:f>G10*H10</x:f>
        <x:v>12</x:v>
      </x:c>
      <x:c r="J10" s="17" t="n">
        <x:f>D10*I10</x:f>
        <x:v>24000</x:v>
      </x:c>
      <x:c r="K10" s="15" t="str">
        <x:v>screw_large</x:v>
      </x:c>
      <x:c r="L10" s="17" t="n">
        <x:v>1</x:v>
      </x:c>
      <x:c r="M10" s="17" t="n">
        <x:v>1</x:v>
      </x:c>
      <x:c r="N10" s="17" t="n">
        <x:v>4</x:v>
      </x:c>
      <x:c r="O10" s="15" t="str">
        <x:v>example4保留</x:v>
      </x:c>
    </x:row>
    <x:row r="11" ht="22.5" customHeight="1">
      <x:c r="A11" s="19" t="str">
        <x:v>grape_can</x:v>
      </x:c>
      <x:c r="B11" s="19" t="str">
        <x:v>grape</x:v>
      </x:c>
      <x:c r="C11" s="19" t="str">
        <x:v>can</x:v>
      </x:c>
      <x:c r="D11" s="18" t="n">
        <x:v>330</x:v>
      </x:c>
      <x:c r="E11" s="18" t="n">
        <x:v>220</x:v>
      </x:c>
      <x:c r="F11" s="18" t="n">
        <x:f>ROUNDUP(1000*D11/E11,0)</x:f>
        <x:v>1500</x:v>
      </x:c>
      <x:c r="G11" s="18" t="n">
        <x:v>2</x:v>
      </x:c>
      <x:c r="H11" s="18" t="n">
        <x:v>6</x:v>
      </x:c>
      <x:c r="I11" s="18" t="n">
        <x:f>G11*H11</x:f>
        <x:v>12</x:v>
      </x:c>
      <x:c r="J11" s="18" t="n">
        <x:f>D11*I11</x:f>
        <x:v>3960</x:v>
      </x:c>
      <x:c r="K11" s="19" t="str">
        <x:v>seam_can</x:v>
      </x:c>
      <x:c r="L11" s="18" t="n">
        <x:v>2</x:v>
      </x:c>
      <x:c r="M11" s="18" t="n">
        <x:v>2</x:v>
      </x:c>
      <x:c r="N11" s="18" t="n">
        <x:v>5</x:v>
      </x:c>
      <x:c r="O11" s="19" t="str">
        <x:v>example4保留</x:v>
      </x:c>
    </x:row>
    <x:row r="12" ht="22.5" customHeight="1">
      <x:c r="A12" s="15" t="str">
        <x:v>orange_small</x:v>
      </x:c>
      <x:c r="B12" s="15" t="str">
        <x:v>orange</x:v>
      </x:c>
      <x:c r="C12" s="15" t="str">
        <x:v>small</x:v>
      </x:c>
      <x:c r="D12" s="17" t="n">
        <x:v>250</x:v>
      </x:c>
      <x:c r="E12" s="17" t="n">
        <x:v>200</x:v>
      </x:c>
      <x:c r="F12" s="17" t="n">
        <x:f>ROUNDUP(1000*D12/E12,0)</x:f>
        <x:v>1250</x:v>
      </x:c>
      <x:c r="G12" s="17" t="n">
        <x:v>2</x:v>
      </x:c>
      <x:c r="H12" s="17" t="n">
        <x:v>6</x:v>
      </x:c>
      <x:c r="I12" s="17" t="n">
        <x:f>G12*H12</x:f>
        <x:v>12</x:v>
      </x:c>
      <x:c r="J12" s="17" t="n">
        <x:f>D12*I12</x:f>
        <x:v>3000</x:v>
      </x:c>
      <x:c r="K12" s="15" t="str">
        <x:v>screw_small</x:v>
      </x:c>
      <x:c r="L12" s="17" t="n">
        <x:v>3</x:v>
      </x:c>
      <x:c r="M12" s="17" t="n">
        <x:v>3</x:v>
      </x:c>
      <x:c r="N12" s="17" t="n">
        <x:v>6</x:v>
      </x:c>
      <x:c r="O12" s="15" t="str">
        <x:v>raw_response追加</x:v>
      </x:c>
    </x:row>
    <x:row r="13" ht="22.5" customHeight="1">
      <x:c r="A13" s="19" t="str">
        <x:v>apple_small</x:v>
      </x:c>
      <x:c r="B13" s="19" t="str">
        <x:v>apple</x:v>
      </x:c>
      <x:c r="C13" s="19" t="str">
        <x:v>small</x:v>
      </x:c>
      <x:c r="D13" s="18" t="n">
        <x:v>250</x:v>
      </x:c>
      <x:c r="E13" s="18" t="n">
        <x:v>180</x:v>
      </x:c>
      <x:c r="F13" s="18" t="n">
        <x:f>ROUNDUP(1000*D13/E13,0)</x:f>
        <x:v>1389</x:v>
      </x:c>
      <x:c r="G13" s="18" t="n">
        <x:v>2</x:v>
      </x:c>
      <x:c r="H13" s="18" t="n">
        <x:v>6</x:v>
      </x:c>
      <x:c r="I13" s="18" t="n">
        <x:f>G13*H13</x:f>
        <x:v>12</x:v>
      </x:c>
      <x:c r="J13" s="18" t="n">
        <x:f>D13*I13</x:f>
        <x:v>3000</x:v>
      </x:c>
      <x:c r="K13" s="19" t="str">
        <x:v>screw_small</x:v>
      </x:c>
      <x:c r="L13" s="18" t="n">
        <x:v>3</x:v>
      </x:c>
      <x:c r="M13" s="18" t="n">
        <x:v>3</x:v>
      </x:c>
      <x:c r="N13" s="18" t="n">
        <x:v>6</x:v>
      </x:c>
      <x:c r="O13" s="19" t="str">
        <x:v>raw_response追加</x:v>
      </x:c>
    </x:row>
    <x:row r="14" ht="22.5" customHeight="1">
      <x:c r="A14" s="15" t="str">
        <x:v>grape_small</x:v>
      </x:c>
      <x:c r="B14" s="15" t="str">
        <x:v>grape</x:v>
      </x:c>
      <x:c r="C14" s="15" t="str">
        <x:v>small</x:v>
      </x:c>
      <x:c r="D14" s="17" t="n">
        <x:v>250</x:v>
      </x:c>
      <x:c r="E14" s="17" t="n">
        <x:v>220</x:v>
      </x:c>
      <x:c r="F14" s="17" t="n">
        <x:f>ROUNDUP(1000*D14/E14,0)</x:f>
        <x:v>1137</x:v>
      </x:c>
      <x:c r="G14" s="17" t="n">
        <x:v>2</x:v>
      </x:c>
      <x:c r="H14" s="17" t="n">
        <x:v>6</x:v>
      </x:c>
      <x:c r="I14" s="17" t="n">
        <x:f>G14*H14</x:f>
        <x:v>12</x:v>
      </x:c>
      <x:c r="J14" s="17" t="n">
        <x:f>D14*I14</x:f>
        <x:v>3000</x:v>
      </x:c>
      <x:c r="K14" s="15" t="str">
        <x:v>screw_small</x:v>
      </x:c>
      <x:c r="L14" s="17" t="n">
        <x:v>3</x:v>
      </x:c>
      <x:c r="M14" s="17" t="n">
        <x:v>3</x:v>
      </x:c>
      <x:c r="N14" s="17" t="n">
        <x:v>6</x:v>
      </x:c>
      <x:c r="O14" s="15" t="str">
        <x:v>raw_response追加</x:v>
      </x:c>
    </x:row>
  </x:sheetData>
  <x:pageMargins left="0.7" right="0.7" top="0.75" bottom="0.75" header="0.3" footer="0.3"/>
  <x:tableParts count="1">
    <x:tablePart xmlns:r="http://schemas.openxmlformats.org/officeDocument/2006/relationships" r:id="Rd6ca69414e9c433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.75" hidden="0" customWidth="1"/>
    <x:col min="2" max="2" width="20" hidden="0" customWidth="1"/>
    <x:col min="3" max="3" width="12.5" hidden="0" customWidth="1"/>
    <x:col min="4" max="4" width="38.75" hidden="0" customWidth="1"/>
    <x:col min="5" max="5" width="9.380000114440918" hidden="0" customWidth="1"/>
    <x:col min="6" max="6" width="9.380000114440918" hidden="0" customWidth="1"/>
    <x:col min="7" max="7" width="9.380000114440918" hidden="0" customWidth="1"/>
    <x:col min="8" max="8" width="9.380000114440918" hidden="0" customWidth="1"/>
    <x:col min="9" max="9" width="20" hidden="0" customWidth="1"/>
    <x:col min="10" max="10" width="41.25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5.5" customHeight="1">
      <x:c r="A2" s="4" t="str">
        <x:v>每个配方引用的工位入口与作业点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 ht="21" customHeight="1">
      <x:c r="A3" s="6" t="str">
        <x:v>本表是配方字段映射；实际先后、抬升和原地复检见工艺流程与250mL动作。工位点是数组索引，PR点是各电机0–15编号。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1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1.5" customHeight="1">
      <x:c r="A5" s="11" t="str">
        <x:v>配方</x:v>
      </x:c>
      <x:c r="B5" s="12" t="str">
        <x:v>路线字段</x:v>
      </x:c>
      <x:c r="C5" s="12" t="str">
        <x:v>生产点位ID</x:v>
      </x:c>
      <x:c r="D5" s="12" t="str">
        <x:v>生产点位名</x:v>
      </x:c>
      <x:c r="E5" s="12" t="str">
        <x:v>X PR</x:v>
      </x:c>
      <x:c r="F5" s="12" t="str">
        <x:v>Y1 PR</x:v>
      </x:c>
      <x:c r="G5" s="12" t="str">
        <x:v>Y2 PR</x:v>
      </x:c>
      <x:c r="H5" s="12" t="str">
        <x:v>Z PR</x:v>
      </x:c>
      <x:c r="I5" s="12" t="str">
        <x:v>工位选择</x:v>
      </x:c>
      <x:c r="J5" s="13" t="str">
        <x:v>来源</x:v>
      </x:c>
    </x:row>
    <x:row r="6" ht="22.5" customHeight="1">
      <x:c r="A6" s="15" t="str">
        <x:v>orange_family</x:v>
      </x:c>
      <x:c r="B6" s="15" t="str">
        <x:v>empty_entry</x:v>
      </x:c>
      <x:c r="C6" s="17" t="n">
        <x:v>1</x:v>
      </x:c>
      <x:c r="D6" s="15" t="str">
        <x:v>orange family empty entry</x:v>
      </x:c>
      <x:c r="E6" s="17" t="n">
        <x:v>1</x:v>
      </x:c>
      <x:c r="F6" s="17" t="n">
        <x:v>1</x:v>
      </x:c>
      <x:c r="G6" s="17" t="n">
        <x:v>1</x:v>
      </x:c>
      <x:c r="H6" s="17" t="n">
        <x:v>1</x:v>
      </x:c>
      <x:c r="I6" s="15" t="str">
        <x:v>共享工位</x:v>
      </x:c>
      <x:c r="J6" s="15" t="str">
        <x:v>candidate:system_variables.json</x:v>
      </x:c>
    </x:row>
    <x:row r="7" ht="22.5" customHeight="1">
      <x:c r="A7" s="19" t="str">
        <x:v>orange_family</x:v>
      </x:c>
      <x:c r="B7" s="19" t="str">
        <x:v>empty_work</x:v>
      </x:c>
      <x:c r="C7" s="18" t="n">
        <x:v>2</x:v>
      </x:c>
      <x:c r="D7" s="19" t="str">
        <x:v>orange family empty work</x:v>
      </x:c>
      <x:c r="E7" s="18" t="n">
        <x:v>1</x:v>
      </x:c>
      <x:c r="F7" s="18" t="n">
        <x:v>1</x:v>
      </x:c>
      <x:c r="G7" s="18" t="n">
        <x:v>1</x:v>
      </x:c>
      <x:c r="H7" s="18" t="n">
        <x:v>2</x:v>
      </x:c>
      <x:c r="I7" s="19" t="str">
        <x:v>共享工位</x:v>
      </x:c>
      <x:c r="J7" s="19" t="str">
        <x:v>candidate:system_variables.json</x:v>
      </x:c>
    </x:row>
    <x:row r="8" ht="22.5" customHeight="1">
      <x:c r="A8" s="15" t="str">
        <x:v>orange_family</x:v>
      </x:c>
      <x:c r="B8" s="15" t="str">
        <x:v>rinse_entry</x:v>
      </x:c>
      <x:c r="C8" s="17" t="n">
        <x:v>3</x:v>
      </x:c>
      <x:c r="D8" s="15" t="str">
        <x:v>orange family rinse entry</x:v>
      </x:c>
      <x:c r="E8" s="17" t="n">
        <x:v>13</x:v>
      </x:c>
      <x:c r="F8" s="17" t="n">
        <x:v>1</x:v>
      </x:c>
      <x:c r="G8" s="17" t="n">
        <x:v>1</x:v>
      </x:c>
      <x:c r="H8" s="17" t="n">
        <x:v>1</x:v>
      </x:c>
      <x:c r="I8" s="15" t="str">
        <x:v>共享工位</x:v>
      </x:c>
      <x:c r="J8" s="15" t="str">
        <x:v>candidate:system_variables.json</x:v>
      </x:c>
    </x:row>
    <x:row r="9" ht="22.5" customHeight="1">
      <x:c r="A9" s="19" t="str">
        <x:v>orange_family</x:v>
      </x:c>
      <x:c r="B9" s="19" t="str">
        <x:v>rinse_work</x:v>
      </x:c>
      <x:c r="C9" s="18" t="n">
        <x:v>4</x:v>
      </x:c>
      <x:c r="D9" s="19" t="str">
        <x:v>orange family rinse work</x:v>
      </x:c>
      <x:c r="E9" s="18" t="n">
        <x:v>13</x:v>
      </x:c>
      <x:c r="F9" s="18" t="n">
        <x:v>1</x:v>
      </x:c>
      <x:c r="G9" s="18" t="n">
        <x:v>1</x:v>
      </x:c>
      <x:c r="H9" s="18" t="n">
        <x:v>2</x:v>
      </x:c>
      <x:c r="I9" s="19" t="str">
        <x:v>共享工位</x:v>
      </x:c>
      <x:c r="J9" s="19" t="str">
        <x:v>candidate:system_variables.json</x:v>
      </x:c>
    </x:row>
    <x:row r="10" ht="22.5" customHeight="1">
      <x:c r="A10" s="15" t="str">
        <x:v>orange_family</x:v>
      </x:c>
      <x:c r="B10" s="15" t="str">
        <x:v>fill_entry</x:v>
      </x:c>
      <x:c r="C10" s="17" t="n">
        <x:v>5</x:v>
      </x:c>
      <x:c r="D10" s="15" t="str">
        <x:v>orange family fill entry</x:v>
      </x:c>
      <x:c r="E10" s="17" t="n">
        <x:v>4</x:v>
      </x:c>
      <x:c r="F10" s="17" t="n">
        <x:v>10</x:v>
      </x:c>
      <x:c r="G10" s="17" t="n">
        <x:v>10</x:v>
      </x:c>
      <x:c r="H10" s="17" t="n">
        <x:v>1</x:v>
      </x:c>
      <x:c r="I10" s="15" t="str">
        <x:v>OrangeFill</x:v>
      </x:c>
      <x:c r="J10" s="15" t="str">
        <x:v>candidate:system_variables.json</x:v>
      </x:c>
    </x:row>
    <x:row r="11" ht="22.5" customHeight="1">
      <x:c r="A11" s="19" t="str">
        <x:v>orange_family</x:v>
      </x:c>
      <x:c r="B11" s="19" t="str">
        <x:v>fill_work</x:v>
      </x:c>
      <x:c r="C11" s="18" t="n">
        <x:v>6</x:v>
      </x:c>
      <x:c r="D11" s="19" t="str">
        <x:v>orange family fill work</x:v>
      </x:c>
      <x:c r="E11" s="18" t="n">
        <x:v>4</x:v>
      </x:c>
      <x:c r="F11" s="18" t="n">
        <x:v>10</x:v>
      </x:c>
      <x:c r="G11" s="18" t="n">
        <x:v>10</x:v>
      </x:c>
      <x:c r="H11" s="18" t="n">
        <x:v>2</x:v>
      </x:c>
      <x:c r="I11" s="19" t="str">
        <x:v>OrangeFill</x:v>
      </x:c>
      <x:c r="J11" s="19" t="str">
        <x:v>candidate:system_variables.json</x:v>
      </x:c>
    </x:row>
    <x:row r="12" ht="22.5" customHeight="1">
      <x:c r="A12" s="15" t="str">
        <x:v>orange_family</x:v>
      </x:c>
      <x:c r="B12" s="15" t="str">
        <x:v>closure_entry</x:v>
      </x:c>
      <x:c r="C12" s="17" t="n">
        <x:v>7</x:v>
      </x:c>
      <x:c r="D12" s="15" t="str">
        <x:v>orange family closure entry</x:v>
      </x:c>
      <x:c r="E12" s="17" t="n">
        <x:v>7</x:v>
      </x:c>
      <x:c r="F12" s="17" t="n">
        <x:v>4</x:v>
      </x:c>
      <x:c r="G12" s="17" t="n">
        <x:v>4</x:v>
      </x:c>
      <x:c r="H12" s="17" t="n">
        <x:v>1</x:v>
      </x:c>
      <x:c r="I12" s="15" t="str">
        <x:v>共享工位</x:v>
      </x:c>
      <x:c r="J12" s="15" t="str">
        <x:v>candidate:system_variables.json</x:v>
      </x:c>
    </x:row>
    <x:row r="13" ht="22.5" customHeight="1">
      <x:c r="A13" s="19" t="str">
        <x:v>orange_family</x:v>
      </x:c>
      <x:c r="B13" s="19" t="str">
        <x:v>closure_work</x:v>
      </x:c>
      <x:c r="C13" s="18" t="n">
        <x:v>8</x:v>
      </x:c>
      <x:c r="D13" s="19" t="str">
        <x:v>orange family closure work</x:v>
      </x:c>
      <x:c r="E13" s="18" t="n">
        <x:v>7</x:v>
      </x:c>
      <x:c r="F13" s="18" t="n">
        <x:v>4</x:v>
      </x:c>
      <x:c r="G13" s="18" t="n">
        <x:v>4</x:v>
      </x:c>
      <x:c r="H13" s="18" t="n">
        <x:v>2</x:v>
      </x:c>
      <x:c r="I13" s="19" t="str">
        <x:v>共享工位</x:v>
      </x:c>
      <x:c r="J13" s="19" t="str">
        <x:v>candidate:system_variables.json</x:v>
      </x:c>
    </x:row>
    <x:row r="14" ht="22.5" customHeight="1">
      <x:c r="A14" s="15" t="str">
        <x:v>orange_family</x:v>
      </x:c>
      <x:c r="B14" s="15" t="str">
        <x:v>code_entry</x:v>
      </x:c>
      <x:c r="C14" s="17" t="n">
        <x:v>9</x:v>
      </x:c>
      <x:c r="D14" s="15" t="str">
        <x:v>orange family code entry</x:v>
      </x:c>
      <x:c r="E14" s="17" t="n">
        <x:v>14</x:v>
      </x:c>
      <x:c r="F14" s="17" t="n">
        <x:v>1</x:v>
      </x:c>
      <x:c r="G14" s="17" t="n">
        <x:v>1</x:v>
      </x:c>
      <x:c r="H14" s="17" t="n">
        <x:v>1</x:v>
      </x:c>
      <x:c r="I14" s="15" t="str">
        <x:v>共享工位</x:v>
      </x:c>
      <x:c r="J14" s="15" t="str">
        <x:v>candidate:system_variables.json</x:v>
      </x:c>
    </x:row>
    <x:row r="15" ht="22.5" customHeight="1">
      <x:c r="A15" s="19" t="str">
        <x:v>orange_family</x:v>
      </x:c>
      <x:c r="B15" s="19" t="str">
        <x:v>code_work</x:v>
      </x:c>
      <x:c r="C15" s="18" t="n">
        <x:v>10</x:v>
      </x:c>
      <x:c r="D15" s="19" t="str">
        <x:v>orange family code work</x:v>
      </x:c>
      <x:c r="E15" s="18" t="n">
        <x:v>14</x:v>
      </x:c>
      <x:c r="F15" s="18" t="n">
        <x:v>1</x:v>
      </x:c>
      <x:c r="G15" s="18" t="n">
        <x:v>1</x:v>
      </x:c>
      <x:c r="H15" s="18" t="n">
        <x:v>2</x:v>
      </x:c>
      <x:c r="I15" s="19" t="str">
        <x:v>共享工位</x:v>
      </x:c>
      <x:c r="J15" s="19" t="str">
        <x:v>candidate:system_variables.json</x:v>
      </x:c>
    </x:row>
    <x:row r="16" ht="22.5" customHeight="1">
      <x:c r="A16" s="15" t="str">
        <x:v>orange_family</x:v>
      </x:c>
      <x:c r="B16" s="15" t="str">
        <x:v>finished_entry</x:v>
      </x:c>
      <x:c r="C16" s="17" t="n">
        <x:v>11</x:v>
      </x:c>
      <x:c r="D16" s="15" t="str">
        <x:v>orange family finished entry</x:v>
      </x:c>
      <x:c r="E16" s="17" t="n">
        <x:v>10</x:v>
      </x:c>
      <x:c r="F16" s="17" t="n">
        <x:v>7</x:v>
      </x:c>
      <x:c r="G16" s="17" t="n">
        <x:v>7</x:v>
      </x:c>
      <x:c r="H16" s="17" t="n">
        <x:v>1</x:v>
      </x:c>
      <x:c r="I16" s="15" t="str">
        <x:v>共享工位</x:v>
      </x:c>
      <x:c r="J16" s="15" t="str">
        <x:v>candidate:system_variables.json</x:v>
      </x:c>
    </x:row>
    <x:row r="17" ht="22.5" customHeight="1">
      <x:c r="A17" s="19" t="str">
        <x:v>orange_family</x:v>
      </x:c>
      <x:c r="B17" s="19" t="str">
        <x:v>finished_work</x:v>
      </x:c>
      <x:c r="C17" s="18" t="n">
        <x:v>12</x:v>
      </x:c>
      <x:c r="D17" s="19" t="str">
        <x:v>orange family finished work</x:v>
      </x:c>
      <x:c r="E17" s="18" t="n">
        <x:v>10</x:v>
      </x:c>
      <x:c r="F17" s="18" t="n">
        <x:v>7</x:v>
      </x:c>
      <x:c r="G17" s="18" t="n">
        <x:v>7</x:v>
      </x:c>
      <x:c r="H17" s="18" t="n">
        <x:v>2</x:v>
      </x:c>
      <x:c r="I17" s="19" t="str">
        <x:v>共享工位</x:v>
      </x:c>
      <x:c r="J17" s="19" t="str">
        <x:v>candidate:system_variables.json</x:v>
      </x:c>
    </x:row>
    <x:row r="18" ht="22.5" customHeight="1">
      <x:c r="A18" s="15" t="str">
        <x:v>orange_can</x:v>
      </x:c>
      <x:c r="B18" s="15" t="str">
        <x:v>empty_entry</x:v>
      </x:c>
      <x:c r="C18" s="17" t="n">
        <x:v>13</x:v>
      </x:c>
      <x:c r="D18" s="15" t="str">
        <x:v>orange can empty entry</x:v>
      </x:c>
      <x:c r="E18" s="17" t="n">
        <x:v>2</x:v>
      </x:c>
      <x:c r="F18" s="17" t="n">
        <x:v>2</x:v>
      </x:c>
      <x:c r="G18" s="17" t="n">
        <x:v>2</x:v>
      </x:c>
      <x:c r="H18" s="17" t="n">
        <x:v>1</x:v>
      </x:c>
      <x:c r="I18" s="15" t="str">
        <x:v>共享工位</x:v>
      </x:c>
      <x:c r="J18" s="15" t="str">
        <x:v>candidate:system_variables.json</x:v>
      </x:c>
    </x:row>
    <x:row r="19" ht="22.5" customHeight="1">
      <x:c r="A19" s="19" t="str">
        <x:v>orange_can</x:v>
      </x:c>
      <x:c r="B19" s="19" t="str">
        <x:v>empty_work</x:v>
      </x:c>
      <x:c r="C19" s="18" t="n">
        <x:v>14</x:v>
      </x:c>
      <x:c r="D19" s="19" t="str">
        <x:v>orange can empty work</x:v>
      </x:c>
      <x:c r="E19" s="18" t="n">
        <x:v>2</x:v>
      </x:c>
      <x:c r="F19" s="18" t="n">
        <x:v>2</x:v>
      </x:c>
      <x:c r="G19" s="18" t="n">
        <x:v>2</x:v>
      </x:c>
      <x:c r="H19" s="18" t="n">
        <x:v>3</x:v>
      </x:c>
      <x:c r="I19" s="19" t="str">
        <x:v>共享工位</x:v>
      </x:c>
      <x:c r="J19" s="19" t="str">
        <x:v>candidate:system_variables.json</x:v>
      </x:c>
    </x:row>
    <x:row r="20" ht="22.5" customHeight="1">
      <x:c r="A20" s="15" t="str">
        <x:v>orange_can</x:v>
      </x:c>
      <x:c r="B20" s="15" t="str">
        <x:v>rinse_entry</x:v>
      </x:c>
      <x:c r="C20" s="17" t="n">
        <x:v>15</x:v>
      </x:c>
      <x:c r="D20" s="15" t="str">
        <x:v>orange can rinse entry</x:v>
      </x:c>
      <x:c r="E20" s="17" t="n">
        <x:v>13</x:v>
      </x:c>
      <x:c r="F20" s="17" t="n">
        <x:v>2</x:v>
      </x:c>
      <x:c r="G20" s="17" t="n">
        <x:v>2</x:v>
      </x:c>
      <x:c r="H20" s="17" t="n">
        <x:v>1</x:v>
      </x:c>
      <x:c r="I20" s="15" t="str">
        <x:v>共享工位</x:v>
      </x:c>
      <x:c r="J20" s="15" t="str">
        <x:v>candidate:system_variables.json</x:v>
      </x:c>
    </x:row>
    <x:row r="21" ht="22.5" customHeight="1">
      <x:c r="A21" s="19" t="str">
        <x:v>orange_can</x:v>
      </x:c>
      <x:c r="B21" s="19" t="str">
        <x:v>rinse_work</x:v>
      </x:c>
      <x:c r="C21" s="18" t="n">
        <x:v>16</x:v>
      </x:c>
      <x:c r="D21" s="19" t="str">
        <x:v>orange can rinse work</x:v>
      </x:c>
      <x:c r="E21" s="18" t="n">
        <x:v>13</x:v>
      </x:c>
      <x:c r="F21" s="18" t="n">
        <x:v>2</x:v>
      </x:c>
      <x:c r="G21" s="18" t="n">
        <x:v>2</x:v>
      </x:c>
      <x:c r="H21" s="18" t="n">
        <x:v>3</x:v>
      </x:c>
      <x:c r="I21" s="19" t="str">
        <x:v>共享工位</x:v>
      </x:c>
      <x:c r="J21" s="19" t="str">
        <x:v>candidate:system_variables.json</x:v>
      </x:c>
    </x:row>
    <x:row r="22" ht="22.5" customHeight="1">
      <x:c r="A22" s="15" t="str">
        <x:v>orange_can</x:v>
      </x:c>
      <x:c r="B22" s="15" t="str">
        <x:v>fill_entry</x:v>
      </x:c>
      <x:c r="C22" s="17" t="n">
        <x:v>17</x:v>
      </x:c>
      <x:c r="D22" s="15" t="str">
        <x:v>orange can fill entry</x:v>
      </x:c>
      <x:c r="E22" s="17" t="n">
        <x:v>4</x:v>
      </x:c>
      <x:c r="F22" s="17" t="n">
        <x:v>11</x:v>
      </x:c>
      <x:c r="G22" s="17" t="n">
        <x:v>11</x:v>
      </x:c>
      <x:c r="H22" s="17" t="n">
        <x:v>1</x:v>
      </x:c>
      <x:c r="I22" s="15" t="str">
        <x:v>OrangeFill</x:v>
      </x:c>
      <x:c r="J22" s="15" t="str">
        <x:v>candidate:system_variables.json</x:v>
      </x:c>
    </x:row>
    <x:row r="23" ht="22.5" customHeight="1">
      <x:c r="A23" s="19" t="str">
        <x:v>orange_can</x:v>
      </x:c>
      <x:c r="B23" s="19" t="str">
        <x:v>fill_work</x:v>
      </x:c>
      <x:c r="C23" s="18" t="n">
        <x:v>18</x:v>
      </x:c>
      <x:c r="D23" s="19" t="str">
        <x:v>orange can fill work</x:v>
      </x:c>
      <x:c r="E23" s="18" t="n">
        <x:v>4</x:v>
      </x:c>
      <x:c r="F23" s="18" t="n">
        <x:v>11</x:v>
      </x:c>
      <x:c r="G23" s="18" t="n">
        <x:v>11</x:v>
      </x:c>
      <x:c r="H23" s="18" t="n">
        <x:v>3</x:v>
      </x:c>
      <x:c r="I23" s="19" t="str">
        <x:v>OrangeFill</x:v>
      </x:c>
      <x:c r="J23" s="19" t="str">
        <x:v>candidate:system_variables.json</x:v>
      </x:c>
    </x:row>
    <x:row r="24" ht="22.5" customHeight="1">
      <x:c r="A24" s="15" t="str">
        <x:v>orange_can</x:v>
      </x:c>
      <x:c r="B24" s="15" t="str">
        <x:v>closure_entry</x:v>
      </x:c>
      <x:c r="C24" s="17" t="n">
        <x:v>19</x:v>
      </x:c>
      <x:c r="D24" s="15" t="str">
        <x:v>orange can closure entry</x:v>
      </x:c>
      <x:c r="E24" s="17" t="n">
        <x:v>8</x:v>
      </x:c>
      <x:c r="F24" s="17" t="n">
        <x:v>5</x:v>
      </x:c>
      <x:c r="G24" s="17" t="n">
        <x:v>5</x:v>
      </x:c>
      <x:c r="H24" s="17" t="n">
        <x:v>1</x:v>
      </x:c>
      <x:c r="I24" s="15" t="str">
        <x:v>共享工位</x:v>
      </x:c>
      <x:c r="J24" s="15" t="str">
        <x:v>candidate:system_variables.json</x:v>
      </x:c>
    </x:row>
    <x:row r="25" ht="22.5" customHeight="1">
      <x:c r="A25" s="19" t="str">
        <x:v>orange_can</x:v>
      </x:c>
      <x:c r="B25" s="19" t="str">
        <x:v>closure_work</x:v>
      </x:c>
      <x:c r="C25" s="18" t="n">
        <x:v>20</x:v>
      </x:c>
      <x:c r="D25" s="19" t="str">
        <x:v>orange can closure work</x:v>
      </x:c>
      <x:c r="E25" s="18" t="n">
        <x:v>8</x:v>
      </x:c>
      <x:c r="F25" s="18" t="n">
        <x:v>5</x:v>
      </x:c>
      <x:c r="G25" s="18" t="n">
        <x:v>5</x:v>
      </x:c>
      <x:c r="H25" s="18" t="n">
        <x:v>3</x:v>
      </x:c>
      <x:c r="I25" s="19" t="str">
        <x:v>共享工位</x:v>
      </x:c>
      <x:c r="J25" s="19" t="str">
        <x:v>candidate:system_variables.json</x:v>
      </x:c>
    </x:row>
    <x:row r="26" ht="22.5" customHeight="1">
      <x:c r="A26" s="15" t="str">
        <x:v>orange_can</x:v>
      </x:c>
      <x:c r="B26" s="15" t="str">
        <x:v>code_entry</x:v>
      </x:c>
      <x:c r="C26" s="17" t="n">
        <x:v>21</x:v>
      </x:c>
      <x:c r="D26" s="15" t="str">
        <x:v>orange can code entry</x:v>
      </x:c>
      <x:c r="E26" s="17" t="n">
        <x:v>14</x:v>
      </x:c>
      <x:c r="F26" s="17" t="n">
        <x:v>2</x:v>
      </x:c>
      <x:c r="G26" s="17" t="n">
        <x:v>2</x:v>
      </x:c>
      <x:c r="H26" s="17" t="n">
        <x:v>1</x:v>
      </x:c>
      <x:c r="I26" s="15" t="str">
        <x:v>共享工位</x:v>
      </x:c>
      <x:c r="J26" s="15" t="str">
        <x:v>candidate:system_variables.json</x:v>
      </x:c>
    </x:row>
    <x:row r="27" ht="22.5" customHeight="1">
      <x:c r="A27" s="19" t="str">
        <x:v>orange_can</x:v>
      </x:c>
      <x:c r="B27" s="19" t="str">
        <x:v>code_work</x:v>
      </x:c>
      <x:c r="C27" s="18" t="n">
        <x:v>22</x:v>
      </x:c>
      <x:c r="D27" s="19" t="str">
        <x:v>orange can code work</x:v>
      </x:c>
      <x:c r="E27" s="18" t="n">
        <x:v>14</x:v>
      </x:c>
      <x:c r="F27" s="18" t="n">
        <x:v>2</x:v>
      </x:c>
      <x:c r="G27" s="18" t="n">
        <x:v>2</x:v>
      </x:c>
      <x:c r="H27" s="18" t="n">
        <x:v>3</x:v>
      </x:c>
      <x:c r="I27" s="19" t="str">
        <x:v>共享工位</x:v>
      </x:c>
      <x:c r="J27" s="19" t="str">
        <x:v>candidate:system_variables.json</x:v>
      </x:c>
    </x:row>
    <x:row r="28" ht="22.5" customHeight="1">
      <x:c r="A28" s="15" t="str">
        <x:v>orange_can</x:v>
      </x:c>
      <x:c r="B28" s="15" t="str">
        <x:v>finished_entry</x:v>
      </x:c>
      <x:c r="C28" s="17" t="n">
        <x:v>23</x:v>
      </x:c>
      <x:c r="D28" s="15" t="str">
        <x:v>orange can finished entry</x:v>
      </x:c>
      <x:c r="E28" s="17" t="n">
        <x:v>11</x:v>
      </x:c>
      <x:c r="F28" s="17" t="n">
        <x:v>8</x:v>
      </x:c>
      <x:c r="G28" s="17" t="n">
        <x:v>8</x:v>
      </x:c>
      <x:c r="H28" s="17" t="n">
        <x:v>1</x:v>
      </x:c>
      <x:c r="I28" s="15" t="str">
        <x:v>共享工位</x:v>
      </x:c>
      <x:c r="J28" s="15" t="str">
        <x:v>candidate:system_variables.json</x:v>
      </x:c>
    </x:row>
    <x:row r="29" ht="22.5" customHeight="1">
      <x:c r="A29" s="19" t="str">
        <x:v>orange_can</x:v>
      </x:c>
      <x:c r="B29" s="19" t="str">
        <x:v>finished_work</x:v>
      </x:c>
      <x:c r="C29" s="18" t="n">
        <x:v>24</x:v>
      </x:c>
      <x:c r="D29" s="19" t="str">
        <x:v>orange can finished work</x:v>
      </x:c>
      <x:c r="E29" s="18" t="n">
        <x:v>11</x:v>
      </x:c>
      <x:c r="F29" s="18" t="n">
        <x:v>8</x:v>
      </x:c>
      <x:c r="G29" s="18" t="n">
        <x:v>8</x:v>
      </x:c>
      <x:c r="H29" s="18" t="n">
        <x:v>3</x:v>
      </x:c>
      <x:c r="I29" s="19" t="str">
        <x:v>共享工位</x:v>
      </x:c>
      <x:c r="J29" s="19" t="str">
        <x:v>candidate:system_variables.json</x:v>
      </x:c>
    </x:row>
    <x:row r="30" ht="22.5" customHeight="1">
      <x:c r="A30" s="15" t="str">
        <x:v>apple_family</x:v>
      </x:c>
      <x:c r="B30" s="15" t="str">
        <x:v>empty_entry</x:v>
      </x:c>
      <x:c r="C30" s="17" t="n">
        <x:v>1</x:v>
      </x:c>
      <x:c r="D30" s="15" t="str">
        <x:v>orange family empty entry</x:v>
      </x:c>
      <x:c r="E30" s="17" t="n">
        <x:v>1</x:v>
      </x:c>
      <x:c r="F30" s="17" t="n">
        <x:v>1</x:v>
      </x:c>
      <x:c r="G30" s="17" t="n">
        <x:v>1</x:v>
      </x:c>
      <x:c r="H30" s="17" t="n">
        <x:v>1</x:v>
      </x:c>
      <x:c r="I30" s="15" t="str">
        <x:v>共享工位</x:v>
      </x:c>
      <x:c r="J30" s="15" t="str">
        <x:v>candidate:system_variables.json</x:v>
      </x:c>
    </x:row>
    <x:row r="31" ht="22.5" customHeight="1">
      <x:c r="A31" s="19" t="str">
        <x:v>apple_family</x:v>
      </x:c>
      <x:c r="B31" s="19" t="str">
        <x:v>empty_work</x:v>
      </x:c>
      <x:c r="C31" s="18" t="n">
        <x:v>2</x:v>
      </x:c>
      <x:c r="D31" s="19" t="str">
        <x:v>orange family empty work</x:v>
      </x:c>
      <x:c r="E31" s="18" t="n">
        <x:v>1</x:v>
      </x:c>
      <x:c r="F31" s="18" t="n">
        <x:v>1</x:v>
      </x:c>
      <x:c r="G31" s="18" t="n">
        <x:v>1</x:v>
      </x:c>
      <x:c r="H31" s="18" t="n">
        <x:v>2</x:v>
      </x:c>
      <x:c r="I31" s="19" t="str">
        <x:v>共享工位</x:v>
      </x:c>
      <x:c r="J31" s="19" t="str">
        <x:v>candidate:system_variables.json</x:v>
      </x:c>
    </x:row>
    <x:row r="32" ht="22.5" customHeight="1">
      <x:c r="A32" s="15" t="str">
        <x:v>apple_family</x:v>
      </x:c>
      <x:c r="B32" s="15" t="str">
        <x:v>rinse_entry</x:v>
      </x:c>
      <x:c r="C32" s="17" t="n">
        <x:v>3</x:v>
      </x:c>
      <x:c r="D32" s="15" t="str">
        <x:v>orange family rinse entry</x:v>
      </x:c>
      <x:c r="E32" s="17" t="n">
        <x:v>13</x:v>
      </x:c>
      <x:c r="F32" s="17" t="n">
        <x:v>1</x:v>
      </x:c>
      <x:c r="G32" s="17" t="n">
        <x:v>1</x:v>
      </x:c>
      <x:c r="H32" s="17" t="n">
        <x:v>1</x:v>
      </x:c>
      <x:c r="I32" s="15" t="str">
        <x:v>共享工位</x:v>
      </x:c>
      <x:c r="J32" s="15" t="str">
        <x:v>candidate:system_variables.json</x:v>
      </x:c>
    </x:row>
    <x:row r="33" ht="22.5" customHeight="1">
      <x:c r="A33" s="19" t="str">
        <x:v>apple_family</x:v>
      </x:c>
      <x:c r="B33" s="19" t="str">
        <x:v>rinse_work</x:v>
      </x:c>
      <x:c r="C33" s="18" t="n">
        <x:v>4</x:v>
      </x:c>
      <x:c r="D33" s="19" t="str">
        <x:v>orange family rinse work</x:v>
      </x:c>
      <x:c r="E33" s="18" t="n">
        <x:v>13</x:v>
      </x:c>
      <x:c r="F33" s="18" t="n">
        <x:v>1</x:v>
      </x:c>
      <x:c r="G33" s="18" t="n">
        <x:v>1</x:v>
      </x:c>
      <x:c r="H33" s="18" t="n">
        <x:v>2</x:v>
      </x:c>
      <x:c r="I33" s="19" t="str">
        <x:v>共享工位</x:v>
      </x:c>
      <x:c r="J33" s="19" t="str">
        <x:v>candidate:system_variables.json</x:v>
      </x:c>
    </x:row>
    <x:row r="34" ht="22.5" customHeight="1">
      <x:c r="A34" s="15" t="str">
        <x:v>apple_family</x:v>
      </x:c>
      <x:c r="B34" s="15" t="str">
        <x:v>fill_entry</x:v>
      </x:c>
      <x:c r="C34" s="17" t="n">
        <x:v>25</x:v>
      </x:c>
      <x:c r="D34" s="15" t="str">
        <x:v>apple family fill entry</x:v>
      </x:c>
      <x:c r="E34" s="17" t="n">
        <x:v>5</x:v>
      </x:c>
      <x:c r="F34" s="17" t="n">
        <x:v>10</x:v>
      </x:c>
      <x:c r="G34" s="17" t="n">
        <x:v>10</x:v>
      </x:c>
      <x:c r="H34" s="17" t="n">
        <x:v>1</x:v>
      </x:c>
      <x:c r="I34" s="15" t="str">
        <x:v>AppleFill</x:v>
      </x:c>
      <x:c r="J34" s="15" t="str">
        <x:v>candidate:system_variables.json</x:v>
      </x:c>
    </x:row>
    <x:row r="35" ht="22.5" customHeight="1">
      <x:c r="A35" s="19" t="str">
        <x:v>apple_family</x:v>
      </x:c>
      <x:c r="B35" s="19" t="str">
        <x:v>fill_work</x:v>
      </x:c>
      <x:c r="C35" s="18" t="n">
        <x:v>26</x:v>
      </x:c>
      <x:c r="D35" s="19" t="str">
        <x:v>apple family fill work</x:v>
      </x:c>
      <x:c r="E35" s="18" t="n">
        <x:v>5</x:v>
      </x:c>
      <x:c r="F35" s="18" t="n">
        <x:v>10</x:v>
      </x:c>
      <x:c r="G35" s="18" t="n">
        <x:v>10</x:v>
      </x:c>
      <x:c r="H35" s="18" t="n">
        <x:v>2</x:v>
      </x:c>
      <x:c r="I35" s="19" t="str">
        <x:v>AppleFill</x:v>
      </x:c>
      <x:c r="J35" s="19" t="str">
        <x:v>candidate:system_variables.json</x:v>
      </x:c>
    </x:row>
    <x:row r="36" ht="22.5" customHeight="1">
      <x:c r="A36" s="15" t="str">
        <x:v>apple_family</x:v>
      </x:c>
      <x:c r="B36" s="15" t="str">
        <x:v>closure_entry</x:v>
      </x:c>
      <x:c r="C36" s="17" t="n">
        <x:v>7</x:v>
      </x:c>
      <x:c r="D36" s="15" t="str">
        <x:v>orange family closure entry</x:v>
      </x:c>
      <x:c r="E36" s="17" t="n">
        <x:v>7</x:v>
      </x:c>
      <x:c r="F36" s="17" t="n">
        <x:v>4</x:v>
      </x:c>
      <x:c r="G36" s="17" t="n">
        <x:v>4</x:v>
      </x:c>
      <x:c r="H36" s="17" t="n">
        <x:v>1</x:v>
      </x:c>
      <x:c r="I36" s="15" t="str">
        <x:v>共享工位</x:v>
      </x:c>
      <x:c r="J36" s="15" t="str">
        <x:v>candidate:system_variables.json</x:v>
      </x:c>
    </x:row>
    <x:row r="37" ht="22.5" customHeight="1">
      <x:c r="A37" s="19" t="str">
        <x:v>apple_family</x:v>
      </x:c>
      <x:c r="B37" s="19" t="str">
        <x:v>closure_work</x:v>
      </x:c>
      <x:c r="C37" s="18" t="n">
        <x:v>8</x:v>
      </x:c>
      <x:c r="D37" s="19" t="str">
        <x:v>orange family closure work</x:v>
      </x:c>
      <x:c r="E37" s="18" t="n">
        <x:v>7</x:v>
      </x:c>
      <x:c r="F37" s="18" t="n">
        <x:v>4</x:v>
      </x:c>
      <x:c r="G37" s="18" t="n">
        <x:v>4</x:v>
      </x:c>
      <x:c r="H37" s="18" t="n">
        <x:v>2</x:v>
      </x:c>
      <x:c r="I37" s="19" t="str">
        <x:v>共享工位</x:v>
      </x:c>
      <x:c r="J37" s="19" t="str">
        <x:v>candidate:system_variables.json</x:v>
      </x:c>
    </x:row>
    <x:row r="38" ht="22.5" customHeight="1">
      <x:c r="A38" s="15" t="str">
        <x:v>apple_family</x:v>
      </x:c>
      <x:c r="B38" s="15" t="str">
        <x:v>code_entry</x:v>
      </x:c>
      <x:c r="C38" s="17" t="n">
        <x:v>9</x:v>
      </x:c>
      <x:c r="D38" s="15" t="str">
        <x:v>orange family code entry</x:v>
      </x:c>
      <x:c r="E38" s="17" t="n">
        <x:v>14</x:v>
      </x:c>
      <x:c r="F38" s="17" t="n">
        <x:v>1</x:v>
      </x:c>
      <x:c r="G38" s="17" t="n">
        <x:v>1</x:v>
      </x:c>
      <x:c r="H38" s="17" t="n">
        <x:v>1</x:v>
      </x:c>
      <x:c r="I38" s="15" t="str">
        <x:v>共享工位</x:v>
      </x:c>
      <x:c r="J38" s="15" t="str">
        <x:v>candidate:system_variables.json</x:v>
      </x:c>
    </x:row>
    <x:row r="39" ht="22.5" customHeight="1">
      <x:c r="A39" s="19" t="str">
        <x:v>apple_family</x:v>
      </x:c>
      <x:c r="B39" s="19" t="str">
        <x:v>code_work</x:v>
      </x:c>
      <x:c r="C39" s="18" t="n">
        <x:v>10</x:v>
      </x:c>
      <x:c r="D39" s="19" t="str">
        <x:v>orange family code work</x:v>
      </x:c>
      <x:c r="E39" s="18" t="n">
        <x:v>14</x:v>
      </x:c>
      <x:c r="F39" s="18" t="n">
        <x:v>1</x:v>
      </x:c>
      <x:c r="G39" s="18" t="n">
        <x:v>1</x:v>
      </x:c>
      <x:c r="H39" s="18" t="n">
        <x:v>2</x:v>
      </x:c>
      <x:c r="I39" s="19" t="str">
        <x:v>共享工位</x:v>
      </x:c>
      <x:c r="J39" s="19" t="str">
        <x:v>candidate:system_variables.json</x:v>
      </x:c>
    </x:row>
    <x:row r="40" ht="22.5" customHeight="1">
      <x:c r="A40" s="15" t="str">
        <x:v>apple_family</x:v>
      </x:c>
      <x:c r="B40" s="15" t="str">
        <x:v>finished_entry</x:v>
      </x:c>
      <x:c r="C40" s="17" t="n">
        <x:v>11</x:v>
      </x:c>
      <x:c r="D40" s="15" t="str">
        <x:v>orange family finished entry</x:v>
      </x:c>
      <x:c r="E40" s="17" t="n">
        <x:v>10</x:v>
      </x:c>
      <x:c r="F40" s="17" t="n">
        <x:v>7</x:v>
      </x:c>
      <x:c r="G40" s="17" t="n">
        <x:v>7</x:v>
      </x:c>
      <x:c r="H40" s="17" t="n">
        <x:v>1</x:v>
      </x:c>
      <x:c r="I40" s="15" t="str">
        <x:v>共享工位</x:v>
      </x:c>
      <x:c r="J40" s="15" t="str">
        <x:v>candidate:system_variables.json</x:v>
      </x:c>
    </x:row>
    <x:row r="41" ht="22.5" customHeight="1">
      <x:c r="A41" s="19" t="str">
        <x:v>apple_family</x:v>
      </x:c>
      <x:c r="B41" s="19" t="str">
        <x:v>finished_work</x:v>
      </x:c>
      <x:c r="C41" s="18" t="n">
        <x:v>12</x:v>
      </x:c>
      <x:c r="D41" s="19" t="str">
        <x:v>orange family finished work</x:v>
      </x:c>
      <x:c r="E41" s="18" t="n">
        <x:v>10</x:v>
      </x:c>
      <x:c r="F41" s="18" t="n">
        <x:v>7</x:v>
      </x:c>
      <x:c r="G41" s="18" t="n">
        <x:v>7</x:v>
      </x:c>
      <x:c r="H41" s="18" t="n">
        <x:v>2</x:v>
      </x:c>
      <x:c r="I41" s="19" t="str">
        <x:v>共享工位</x:v>
      </x:c>
      <x:c r="J41" s="19" t="str">
        <x:v>candidate:system_variables.json</x:v>
      </x:c>
    </x:row>
    <x:row r="42" ht="22.5" customHeight="1">
      <x:c r="A42" s="15" t="str">
        <x:v>apple_can</x:v>
      </x:c>
      <x:c r="B42" s="15" t="str">
        <x:v>empty_entry</x:v>
      </x:c>
      <x:c r="C42" s="17" t="n">
        <x:v>13</x:v>
      </x:c>
      <x:c r="D42" s="15" t="str">
        <x:v>orange can empty entry</x:v>
      </x:c>
      <x:c r="E42" s="17" t="n">
        <x:v>2</x:v>
      </x:c>
      <x:c r="F42" s="17" t="n">
        <x:v>2</x:v>
      </x:c>
      <x:c r="G42" s="17" t="n">
        <x:v>2</x:v>
      </x:c>
      <x:c r="H42" s="17" t="n">
        <x:v>1</x:v>
      </x:c>
      <x:c r="I42" s="15" t="str">
        <x:v>共享工位</x:v>
      </x:c>
      <x:c r="J42" s="15" t="str">
        <x:v>candidate:system_variables.json</x:v>
      </x:c>
    </x:row>
    <x:row r="43" ht="22.5" customHeight="1">
      <x:c r="A43" s="19" t="str">
        <x:v>apple_can</x:v>
      </x:c>
      <x:c r="B43" s="19" t="str">
        <x:v>empty_work</x:v>
      </x:c>
      <x:c r="C43" s="18" t="n">
        <x:v>14</x:v>
      </x:c>
      <x:c r="D43" s="19" t="str">
        <x:v>orange can empty work</x:v>
      </x:c>
      <x:c r="E43" s="18" t="n">
        <x:v>2</x:v>
      </x:c>
      <x:c r="F43" s="18" t="n">
        <x:v>2</x:v>
      </x:c>
      <x:c r="G43" s="18" t="n">
        <x:v>2</x:v>
      </x:c>
      <x:c r="H43" s="18" t="n">
        <x:v>3</x:v>
      </x:c>
      <x:c r="I43" s="19" t="str">
        <x:v>共享工位</x:v>
      </x:c>
      <x:c r="J43" s="19" t="str">
        <x:v>candidate:system_variables.json</x:v>
      </x:c>
    </x:row>
    <x:row r="44" ht="22.5" customHeight="1">
      <x:c r="A44" s="15" t="str">
        <x:v>apple_can</x:v>
      </x:c>
      <x:c r="B44" s="15" t="str">
        <x:v>rinse_entry</x:v>
      </x:c>
      <x:c r="C44" s="17" t="n">
        <x:v>15</x:v>
      </x:c>
      <x:c r="D44" s="15" t="str">
        <x:v>orange can rinse entry</x:v>
      </x:c>
      <x:c r="E44" s="17" t="n">
        <x:v>13</x:v>
      </x:c>
      <x:c r="F44" s="17" t="n">
        <x:v>2</x:v>
      </x:c>
      <x:c r="G44" s="17" t="n">
        <x:v>2</x:v>
      </x:c>
      <x:c r="H44" s="17" t="n">
        <x:v>1</x:v>
      </x:c>
      <x:c r="I44" s="15" t="str">
        <x:v>共享工位</x:v>
      </x:c>
      <x:c r="J44" s="15" t="str">
        <x:v>candidate:system_variables.json</x:v>
      </x:c>
    </x:row>
    <x:row r="45" ht="22.5" customHeight="1">
      <x:c r="A45" s="19" t="str">
        <x:v>apple_can</x:v>
      </x:c>
      <x:c r="B45" s="19" t="str">
        <x:v>rinse_work</x:v>
      </x:c>
      <x:c r="C45" s="18" t="n">
        <x:v>16</x:v>
      </x:c>
      <x:c r="D45" s="19" t="str">
        <x:v>orange can rinse work</x:v>
      </x:c>
      <x:c r="E45" s="18" t="n">
        <x:v>13</x:v>
      </x:c>
      <x:c r="F45" s="18" t="n">
        <x:v>2</x:v>
      </x:c>
      <x:c r="G45" s="18" t="n">
        <x:v>2</x:v>
      </x:c>
      <x:c r="H45" s="18" t="n">
        <x:v>3</x:v>
      </x:c>
      <x:c r="I45" s="19" t="str">
        <x:v>共享工位</x:v>
      </x:c>
      <x:c r="J45" s="19" t="str">
        <x:v>candidate:system_variables.json</x:v>
      </x:c>
    </x:row>
    <x:row r="46" ht="22.5" customHeight="1">
      <x:c r="A46" s="15" t="str">
        <x:v>apple_can</x:v>
      </x:c>
      <x:c r="B46" s="15" t="str">
        <x:v>fill_entry</x:v>
      </x:c>
      <x:c r="C46" s="17" t="n">
        <x:v>27</x:v>
      </x:c>
      <x:c r="D46" s="15" t="str">
        <x:v>apple can fill entry</x:v>
      </x:c>
      <x:c r="E46" s="17" t="n">
        <x:v>5</x:v>
      </x:c>
      <x:c r="F46" s="17" t="n">
        <x:v>11</x:v>
      </x:c>
      <x:c r="G46" s="17" t="n">
        <x:v>11</x:v>
      </x:c>
      <x:c r="H46" s="17" t="n">
        <x:v>1</x:v>
      </x:c>
      <x:c r="I46" s="15" t="str">
        <x:v>AppleFill</x:v>
      </x:c>
      <x:c r="J46" s="15" t="str">
        <x:v>candidate:system_variables.json</x:v>
      </x:c>
    </x:row>
    <x:row r="47" ht="22.5" customHeight="1">
      <x:c r="A47" s="19" t="str">
        <x:v>apple_can</x:v>
      </x:c>
      <x:c r="B47" s="19" t="str">
        <x:v>fill_work</x:v>
      </x:c>
      <x:c r="C47" s="18" t="n">
        <x:v>28</x:v>
      </x:c>
      <x:c r="D47" s="19" t="str">
        <x:v>apple can fill work</x:v>
      </x:c>
      <x:c r="E47" s="18" t="n">
        <x:v>5</x:v>
      </x:c>
      <x:c r="F47" s="18" t="n">
        <x:v>11</x:v>
      </x:c>
      <x:c r="G47" s="18" t="n">
        <x:v>11</x:v>
      </x:c>
      <x:c r="H47" s="18" t="n">
        <x:v>3</x:v>
      </x:c>
      <x:c r="I47" s="19" t="str">
        <x:v>AppleFill</x:v>
      </x:c>
      <x:c r="J47" s="19" t="str">
        <x:v>candidate:system_variables.json</x:v>
      </x:c>
    </x:row>
    <x:row r="48" ht="22.5" customHeight="1">
      <x:c r="A48" s="15" t="str">
        <x:v>apple_can</x:v>
      </x:c>
      <x:c r="B48" s="15" t="str">
        <x:v>closure_entry</x:v>
      </x:c>
      <x:c r="C48" s="17" t="n">
        <x:v>19</x:v>
      </x:c>
      <x:c r="D48" s="15" t="str">
        <x:v>orange can closure entry</x:v>
      </x:c>
      <x:c r="E48" s="17" t="n">
        <x:v>8</x:v>
      </x:c>
      <x:c r="F48" s="17" t="n">
        <x:v>5</x:v>
      </x:c>
      <x:c r="G48" s="17" t="n">
        <x:v>5</x:v>
      </x:c>
      <x:c r="H48" s="17" t="n">
        <x:v>1</x:v>
      </x:c>
      <x:c r="I48" s="15" t="str">
        <x:v>共享工位</x:v>
      </x:c>
      <x:c r="J48" s="15" t="str">
        <x:v>candidate:system_variables.json</x:v>
      </x:c>
    </x:row>
    <x:row r="49" ht="22.5" customHeight="1">
      <x:c r="A49" s="19" t="str">
        <x:v>apple_can</x:v>
      </x:c>
      <x:c r="B49" s="19" t="str">
        <x:v>closure_work</x:v>
      </x:c>
      <x:c r="C49" s="18" t="n">
        <x:v>20</x:v>
      </x:c>
      <x:c r="D49" s="19" t="str">
        <x:v>orange can closure work</x:v>
      </x:c>
      <x:c r="E49" s="18" t="n">
        <x:v>8</x:v>
      </x:c>
      <x:c r="F49" s="18" t="n">
        <x:v>5</x:v>
      </x:c>
      <x:c r="G49" s="18" t="n">
        <x:v>5</x:v>
      </x:c>
      <x:c r="H49" s="18" t="n">
        <x:v>3</x:v>
      </x:c>
      <x:c r="I49" s="19" t="str">
        <x:v>共享工位</x:v>
      </x:c>
      <x:c r="J49" s="19" t="str">
        <x:v>candidate:system_variables.json</x:v>
      </x:c>
    </x:row>
    <x:row r="50" ht="22.5" customHeight="1">
      <x:c r="A50" s="15" t="str">
        <x:v>apple_can</x:v>
      </x:c>
      <x:c r="B50" s="15" t="str">
        <x:v>code_entry</x:v>
      </x:c>
      <x:c r="C50" s="17" t="n">
        <x:v>21</x:v>
      </x:c>
      <x:c r="D50" s="15" t="str">
        <x:v>orange can code entry</x:v>
      </x:c>
      <x:c r="E50" s="17" t="n">
        <x:v>14</x:v>
      </x:c>
      <x:c r="F50" s="17" t="n">
        <x:v>2</x:v>
      </x:c>
      <x:c r="G50" s="17" t="n">
        <x:v>2</x:v>
      </x:c>
      <x:c r="H50" s="17" t="n">
        <x:v>1</x:v>
      </x:c>
      <x:c r="I50" s="15" t="str">
        <x:v>共享工位</x:v>
      </x:c>
      <x:c r="J50" s="15" t="str">
        <x:v>candidate:system_variables.json</x:v>
      </x:c>
    </x:row>
    <x:row r="51" ht="22.5" customHeight="1">
      <x:c r="A51" s="19" t="str">
        <x:v>apple_can</x:v>
      </x:c>
      <x:c r="B51" s="19" t="str">
        <x:v>code_work</x:v>
      </x:c>
      <x:c r="C51" s="18" t="n">
        <x:v>22</x:v>
      </x:c>
      <x:c r="D51" s="19" t="str">
        <x:v>orange can code work</x:v>
      </x:c>
      <x:c r="E51" s="18" t="n">
        <x:v>14</x:v>
      </x:c>
      <x:c r="F51" s="18" t="n">
        <x:v>2</x:v>
      </x:c>
      <x:c r="G51" s="18" t="n">
        <x:v>2</x:v>
      </x:c>
      <x:c r="H51" s="18" t="n">
        <x:v>3</x:v>
      </x:c>
      <x:c r="I51" s="19" t="str">
        <x:v>共享工位</x:v>
      </x:c>
      <x:c r="J51" s="19" t="str">
        <x:v>candidate:system_variables.json</x:v>
      </x:c>
    </x:row>
    <x:row r="52" ht="22.5" customHeight="1">
      <x:c r="A52" s="15" t="str">
        <x:v>apple_can</x:v>
      </x:c>
      <x:c r="B52" s="15" t="str">
        <x:v>finished_entry</x:v>
      </x:c>
      <x:c r="C52" s="17" t="n">
        <x:v>23</x:v>
      </x:c>
      <x:c r="D52" s="15" t="str">
        <x:v>orange can finished entry</x:v>
      </x:c>
      <x:c r="E52" s="17" t="n">
        <x:v>11</x:v>
      </x:c>
      <x:c r="F52" s="17" t="n">
        <x:v>8</x:v>
      </x:c>
      <x:c r="G52" s="17" t="n">
        <x:v>8</x:v>
      </x:c>
      <x:c r="H52" s="17" t="n">
        <x:v>1</x:v>
      </x:c>
      <x:c r="I52" s="15" t="str">
        <x:v>共享工位</x:v>
      </x:c>
      <x:c r="J52" s="15" t="str">
        <x:v>candidate:system_variables.json</x:v>
      </x:c>
    </x:row>
    <x:row r="53" ht="22.5" customHeight="1">
      <x:c r="A53" s="19" t="str">
        <x:v>apple_can</x:v>
      </x:c>
      <x:c r="B53" s="19" t="str">
        <x:v>finished_work</x:v>
      </x:c>
      <x:c r="C53" s="18" t="n">
        <x:v>24</x:v>
      </x:c>
      <x:c r="D53" s="19" t="str">
        <x:v>orange can finished work</x:v>
      </x:c>
      <x:c r="E53" s="18" t="n">
        <x:v>11</x:v>
      </x:c>
      <x:c r="F53" s="18" t="n">
        <x:v>8</x:v>
      </x:c>
      <x:c r="G53" s="18" t="n">
        <x:v>8</x:v>
      </x:c>
      <x:c r="H53" s="18" t="n">
        <x:v>3</x:v>
      </x:c>
      <x:c r="I53" s="19" t="str">
        <x:v>共享工位</x:v>
      </x:c>
      <x:c r="J53" s="19" t="str">
        <x:v>candidate:system_variables.json</x:v>
      </x:c>
    </x:row>
    <x:row r="54" ht="22.5" customHeight="1">
      <x:c r="A54" s="15" t="str">
        <x:v>grape_family</x:v>
      </x:c>
      <x:c r="B54" s="15" t="str">
        <x:v>empty_entry</x:v>
      </x:c>
      <x:c r="C54" s="17" t="n">
        <x:v>1</x:v>
      </x:c>
      <x:c r="D54" s="15" t="str">
        <x:v>orange family empty entry</x:v>
      </x:c>
      <x:c r="E54" s="17" t="n">
        <x:v>1</x:v>
      </x:c>
      <x:c r="F54" s="17" t="n">
        <x:v>1</x:v>
      </x:c>
      <x:c r="G54" s="17" t="n">
        <x:v>1</x:v>
      </x:c>
      <x:c r="H54" s="17" t="n">
        <x:v>1</x:v>
      </x:c>
      <x:c r="I54" s="15" t="str">
        <x:v>共享工位</x:v>
      </x:c>
      <x:c r="J54" s="15" t="str">
        <x:v>candidate:system_variables.json</x:v>
      </x:c>
    </x:row>
    <x:row r="55" ht="22.5" customHeight="1">
      <x:c r="A55" s="19" t="str">
        <x:v>grape_family</x:v>
      </x:c>
      <x:c r="B55" s="19" t="str">
        <x:v>empty_work</x:v>
      </x:c>
      <x:c r="C55" s="18" t="n">
        <x:v>2</x:v>
      </x:c>
      <x:c r="D55" s="19" t="str">
        <x:v>orange family empty work</x:v>
      </x:c>
      <x:c r="E55" s="18" t="n">
        <x:v>1</x:v>
      </x:c>
      <x:c r="F55" s="18" t="n">
        <x:v>1</x:v>
      </x:c>
      <x:c r="G55" s="18" t="n">
        <x:v>1</x:v>
      </x:c>
      <x:c r="H55" s="18" t="n">
        <x:v>2</x:v>
      </x:c>
      <x:c r="I55" s="19" t="str">
        <x:v>共享工位</x:v>
      </x:c>
      <x:c r="J55" s="19" t="str">
        <x:v>candidate:system_variables.json</x:v>
      </x:c>
    </x:row>
    <x:row r="56" ht="22.5" customHeight="1">
      <x:c r="A56" s="15" t="str">
        <x:v>grape_family</x:v>
      </x:c>
      <x:c r="B56" s="15" t="str">
        <x:v>rinse_entry</x:v>
      </x:c>
      <x:c r="C56" s="17" t="n">
        <x:v>3</x:v>
      </x:c>
      <x:c r="D56" s="15" t="str">
        <x:v>orange family rinse entry</x:v>
      </x:c>
      <x:c r="E56" s="17" t="n">
        <x:v>13</x:v>
      </x:c>
      <x:c r="F56" s="17" t="n">
        <x:v>1</x:v>
      </x:c>
      <x:c r="G56" s="17" t="n">
        <x:v>1</x:v>
      </x:c>
      <x:c r="H56" s="17" t="n">
        <x:v>1</x:v>
      </x:c>
      <x:c r="I56" s="15" t="str">
        <x:v>共享工位</x:v>
      </x:c>
      <x:c r="J56" s="15" t="str">
        <x:v>candidate:system_variables.json</x:v>
      </x:c>
    </x:row>
    <x:row r="57" ht="22.5" customHeight="1">
      <x:c r="A57" s="19" t="str">
        <x:v>grape_family</x:v>
      </x:c>
      <x:c r="B57" s="19" t="str">
        <x:v>rinse_work</x:v>
      </x:c>
      <x:c r="C57" s="18" t="n">
        <x:v>4</x:v>
      </x:c>
      <x:c r="D57" s="19" t="str">
        <x:v>orange family rinse work</x:v>
      </x:c>
      <x:c r="E57" s="18" t="n">
        <x:v>13</x:v>
      </x:c>
      <x:c r="F57" s="18" t="n">
        <x:v>1</x:v>
      </x:c>
      <x:c r="G57" s="18" t="n">
        <x:v>1</x:v>
      </x:c>
      <x:c r="H57" s="18" t="n">
        <x:v>2</x:v>
      </x:c>
      <x:c r="I57" s="19" t="str">
        <x:v>共享工位</x:v>
      </x:c>
      <x:c r="J57" s="19" t="str">
        <x:v>candidate:system_variables.json</x:v>
      </x:c>
    </x:row>
    <x:row r="58" ht="22.5" customHeight="1">
      <x:c r="A58" s="15" t="str">
        <x:v>grape_family</x:v>
      </x:c>
      <x:c r="B58" s="15" t="str">
        <x:v>fill_entry</x:v>
      </x:c>
      <x:c r="C58" s="17" t="n">
        <x:v>29</x:v>
      </x:c>
      <x:c r="D58" s="15" t="str">
        <x:v>grape family fill entry</x:v>
      </x:c>
      <x:c r="E58" s="17" t="n">
        <x:v>6</x:v>
      </x:c>
      <x:c r="F58" s="17" t="n">
        <x:v>10</x:v>
      </x:c>
      <x:c r="G58" s="17" t="n">
        <x:v>10</x:v>
      </x:c>
      <x:c r="H58" s="17" t="n">
        <x:v>1</x:v>
      </x:c>
      <x:c r="I58" s="15" t="str">
        <x:v>GrapeFill</x:v>
      </x:c>
      <x:c r="J58" s="15" t="str">
        <x:v>candidate:system_variables.json</x:v>
      </x:c>
    </x:row>
    <x:row r="59" ht="22.5" customHeight="1">
      <x:c r="A59" s="19" t="str">
        <x:v>grape_family</x:v>
      </x:c>
      <x:c r="B59" s="19" t="str">
        <x:v>fill_work</x:v>
      </x:c>
      <x:c r="C59" s="18" t="n">
        <x:v>30</x:v>
      </x:c>
      <x:c r="D59" s="19" t="str">
        <x:v>grape family fill work</x:v>
      </x:c>
      <x:c r="E59" s="18" t="n">
        <x:v>6</x:v>
      </x:c>
      <x:c r="F59" s="18" t="n">
        <x:v>10</x:v>
      </x:c>
      <x:c r="G59" s="18" t="n">
        <x:v>10</x:v>
      </x:c>
      <x:c r="H59" s="18" t="n">
        <x:v>2</x:v>
      </x:c>
      <x:c r="I59" s="19" t="str">
        <x:v>GrapeFill</x:v>
      </x:c>
      <x:c r="J59" s="19" t="str">
        <x:v>candidate:system_variables.json</x:v>
      </x:c>
    </x:row>
    <x:row r="60" ht="22.5" customHeight="1">
      <x:c r="A60" s="15" t="str">
        <x:v>grape_family</x:v>
      </x:c>
      <x:c r="B60" s="15" t="str">
        <x:v>closure_entry</x:v>
      </x:c>
      <x:c r="C60" s="17" t="n">
        <x:v>7</x:v>
      </x:c>
      <x:c r="D60" s="15" t="str">
        <x:v>orange family closure entry</x:v>
      </x:c>
      <x:c r="E60" s="17" t="n">
        <x:v>7</x:v>
      </x:c>
      <x:c r="F60" s="17" t="n">
        <x:v>4</x:v>
      </x:c>
      <x:c r="G60" s="17" t="n">
        <x:v>4</x:v>
      </x:c>
      <x:c r="H60" s="17" t="n">
        <x:v>1</x:v>
      </x:c>
      <x:c r="I60" s="15" t="str">
        <x:v>共享工位</x:v>
      </x:c>
      <x:c r="J60" s="15" t="str">
        <x:v>candidate:system_variables.json</x:v>
      </x:c>
    </x:row>
    <x:row r="61" ht="22.5" customHeight="1">
      <x:c r="A61" s="19" t="str">
        <x:v>grape_family</x:v>
      </x:c>
      <x:c r="B61" s="19" t="str">
        <x:v>closure_work</x:v>
      </x:c>
      <x:c r="C61" s="18" t="n">
        <x:v>8</x:v>
      </x:c>
      <x:c r="D61" s="19" t="str">
        <x:v>orange family closure work</x:v>
      </x:c>
      <x:c r="E61" s="18" t="n">
        <x:v>7</x:v>
      </x:c>
      <x:c r="F61" s="18" t="n">
        <x:v>4</x:v>
      </x:c>
      <x:c r="G61" s="18" t="n">
        <x:v>4</x:v>
      </x:c>
      <x:c r="H61" s="18" t="n">
        <x:v>2</x:v>
      </x:c>
      <x:c r="I61" s="19" t="str">
        <x:v>共享工位</x:v>
      </x:c>
      <x:c r="J61" s="19" t="str">
        <x:v>candidate:system_variables.json</x:v>
      </x:c>
    </x:row>
    <x:row r="62" ht="22.5" customHeight="1">
      <x:c r="A62" s="15" t="str">
        <x:v>grape_family</x:v>
      </x:c>
      <x:c r="B62" s="15" t="str">
        <x:v>code_entry</x:v>
      </x:c>
      <x:c r="C62" s="17" t="n">
        <x:v>9</x:v>
      </x:c>
      <x:c r="D62" s="15" t="str">
        <x:v>orange family code entry</x:v>
      </x:c>
      <x:c r="E62" s="17" t="n">
        <x:v>14</x:v>
      </x:c>
      <x:c r="F62" s="17" t="n">
        <x:v>1</x:v>
      </x:c>
      <x:c r="G62" s="17" t="n">
        <x:v>1</x:v>
      </x:c>
      <x:c r="H62" s="17" t="n">
        <x:v>1</x:v>
      </x:c>
      <x:c r="I62" s="15" t="str">
        <x:v>共享工位</x:v>
      </x:c>
      <x:c r="J62" s="15" t="str">
        <x:v>candidate:system_variables.json</x:v>
      </x:c>
    </x:row>
    <x:row r="63" ht="22.5" customHeight="1">
      <x:c r="A63" s="19" t="str">
        <x:v>grape_family</x:v>
      </x:c>
      <x:c r="B63" s="19" t="str">
        <x:v>code_work</x:v>
      </x:c>
      <x:c r="C63" s="18" t="n">
        <x:v>10</x:v>
      </x:c>
      <x:c r="D63" s="19" t="str">
        <x:v>orange family code work</x:v>
      </x:c>
      <x:c r="E63" s="18" t="n">
        <x:v>14</x:v>
      </x:c>
      <x:c r="F63" s="18" t="n">
        <x:v>1</x:v>
      </x:c>
      <x:c r="G63" s="18" t="n">
        <x:v>1</x:v>
      </x:c>
      <x:c r="H63" s="18" t="n">
        <x:v>2</x:v>
      </x:c>
      <x:c r="I63" s="19" t="str">
        <x:v>共享工位</x:v>
      </x:c>
      <x:c r="J63" s="19" t="str">
        <x:v>candidate:system_variables.json</x:v>
      </x:c>
    </x:row>
    <x:row r="64" ht="22.5" customHeight="1">
      <x:c r="A64" s="15" t="str">
        <x:v>grape_family</x:v>
      </x:c>
      <x:c r="B64" s="15" t="str">
        <x:v>finished_entry</x:v>
      </x:c>
      <x:c r="C64" s="17" t="n">
        <x:v>11</x:v>
      </x:c>
      <x:c r="D64" s="15" t="str">
        <x:v>orange family finished entry</x:v>
      </x:c>
      <x:c r="E64" s="17" t="n">
        <x:v>10</x:v>
      </x:c>
      <x:c r="F64" s="17" t="n">
        <x:v>7</x:v>
      </x:c>
      <x:c r="G64" s="17" t="n">
        <x:v>7</x:v>
      </x:c>
      <x:c r="H64" s="17" t="n">
        <x:v>1</x:v>
      </x:c>
      <x:c r="I64" s="15" t="str">
        <x:v>共享工位</x:v>
      </x:c>
      <x:c r="J64" s="15" t="str">
        <x:v>candidate:system_variables.json</x:v>
      </x:c>
    </x:row>
    <x:row r="65" ht="22.5" customHeight="1">
      <x:c r="A65" s="19" t="str">
        <x:v>grape_family</x:v>
      </x:c>
      <x:c r="B65" s="19" t="str">
        <x:v>finished_work</x:v>
      </x:c>
      <x:c r="C65" s="18" t="n">
        <x:v>12</x:v>
      </x:c>
      <x:c r="D65" s="19" t="str">
        <x:v>orange family finished work</x:v>
      </x:c>
      <x:c r="E65" s="18" t="n">
        <x:v>10</x:v>
      </x:c>
      <x:c r="F65" s="18" t="n">
        <x:v>7</x:v>
      </x:c>
      <x:c r="G65" s="18" t="n">
        <x:v>7</x:v>
      </x:c>
      <x:c r="H65" s="18" t="n">
        <x:v>2</x:v>
      </x:c>
      <x:c r="I65" s="19" t="str">
        <x:v>共享工位</x:v>
      </x:c>
      <x:c r="J65" s="19" t="str">
        <x:v>candidate:system_variables.json</x:v>
      </x:c>
    </x:row>
    <x:row r="66" ht="22.5" customHeight="1">
      <x:c r="A66" s="15" t="str">
        <x:v>grape_can</x:v>
      </x:c>
      <x:c r="B66" s="15" t="str">
        <x:v>empty_entry</x:v>
      </x:c>
      <x:c r="C66" s="17" t="n">
        <x:v>13</x:v>
      </x:c>
      <x:c r="D66" s="15" t="str">
        <x:v>orange can empty entry</x:v>
      </x:c>
      <x:c r="E66" s="17" t="n">
        <x:v>2</x:v>
      </x:c>
      <x:c r="F66" s="17" t="n">
        <x:v>2</x:v>
      </x:c>
      <x:c r="G66" s="17" t="n">
        <x:v>2</x:v>
      </x:c>
      <x:c r="H66" s="17" t="n">
        <x:v>1</x:v>
      </x:c>
      <x:c r="I66" s="15" t="str">
        <x:v>共享工位</x:v>
      </x:c>
      <x:c r="J66" s="15" t="str">
        <x:v>candidate:system_variables.json</x:v>
      </x:c>
    </x:row>
    <x:row r="67" ht="22.5" customHeight="1">
      <x:c r="A67" s="19" t="str">
        <x:v>grape_can</x:v>
      </x:c>
      <x:c r="B67" s="19" t="str">
        <x:v>empty_work</x:v>
      </x:c>
      <x:c r="C67" s="18" t="n">
        <x:v>14</x:v>
      </x:c>
      <x:c r="D67" s="19" t="str">
        <x:v>orange can empty work</x:v>
      </x:c>
      <x:c r="E67" s="18" t="n">
        <x:v>2</x:v>
      </x:c>
      <x:c r="F67" s="18" t="n">
        <x:v>2</x:v>
      </x:c>
      <x:c r="G67" s="18" t="n">
        <x:v>2</x:v>
      </x:c>
      <x:c r="H67" s="18" t="n">
        <x:v>3</x:v>
      </x:c>
      <x:c r="I67" s="19" t="str">
        <x:v>共享工位</x:v>
      </x:c>
      <x:c r="J67" s="19" t="str">
        <x:v>candidate:system_variables.json</x:v>
      </x:c>
    </x:row>
    <x:row r="68" ht="22.5" customHeight="1">
      <x:c r="A68" s="15" t="str">
        <x:v>grape_can</x:v>
      </x:c>
      <x:c r="B68" s="15" t="str">
        <x:v>rinse_entry</x:v>
      </x:c>
      <x:c r="C68" s="17" t="n">
        <x:v>15</x:v>
      </x:c>
      <x:c r="D68" s="15" t="str">
        <x:v>orange can rinse entry</x:v>
      </x:c>
      <x:c r="E68" s="17" t="n">
        <x:v>13</x:v>
      </x:c>
      <x:c r="F68" s="17" t="n">
        <x:v>2</x:v>
      </x:c>
      <x:c r="G68" s="17" t="n">
        <x:v>2</x:v>
      </x:c>
      <x:c r="H68" s="17" t="n">
        <x:v>1</x:v>
      </x:c>
      <x:c r="I68" s="15" t="str">
        <x:v>共享工位</x:v>
      </x:c>
      <x:c r="J68" s="15" t="str">
        <x:v>candidate:system_variables.json</x:v>
      </x:c>
    </x:row>
    <x:row r="69" ht="22.5" customHeight="1">
      <x:c r="A69" s="19" t="str">
        <x:v>grape_can</x:v>
      </x:c>
      <x:c r="B69" s="19" t="str">
        <x:v>rinse_work</x:v>
      </x:c>
      <x:c r="C69" s="18" t="n">
        <x:v>16</x:v>
      </x:c>
      <x:c r="D69" s="19" t="str">
        <x:v>orange can rinse work</x:v>
      </x:c>
      <x:c r="E69" s="18" t="n">
        <x:v>13</x:v>
      </x:c>
      <x:c r="F69" s="18" t="n">
        <x:v>2</x:v>
      </x:c>
      <x:c r="G69" s="18" t="n">
        <x:v>2</x:v>
      </x:c>
      <x:c r="H69" s="18" t="n">
        <x:v>3</x:v>
      </x:c>
      <x:c r="I69" s="19" t="str">
        <x:v>共享工位</x:v>
      </x:c>
      <x:c r="J69" s="19" t="str">
        <x:v>candidate:system_variables.json</x:v>
      </x:c>
    </x:row>
    <x:row r="70" ht="22.5" customHeight="1">
      <x:c r="A70" s="15" t="str">
        <x:v>grape_can</x:v>
      </x:c>
      <x:c r="B70" s="15" t="str">
        <x:v>fill_entry</x:v>
      </x:c>
      <x:c r="C70" s="17" t="n">
        <x:v>31</x:v>
      </x:c>
      <x:c r="D70" s="15" t="str">
        <x:v>grape can fill entry</x:v>
      </x:c>
      <x:c r="E70" s="17" t="n">
        <x:v>6</x:v>
      </x:c>
      <x:c r="F70" s="17" t="n">
        <x:v>11</x:v>
      </x:c>
      <x:c r="G70" s="17" t="n">
        <x:v>11</x:v>
      </x:c>
      <x:c r="H70" s="17" t="n">
        <x:v>1</x:v>
      </x:c>
      <x:c r="I70" s="15" t="str">
        <x:v>GrapeFill</x:v>
      </x:c>
      <x:c r="J70" s="15" t="str">
        <x:v>candidate:system_variables.json</x:v>
      </x:c>
    </x:row>
    <x:row r="71" ht="22.5" customHeight="1">
      <x:c r="A71" s="19" t="str">
        <x:v>grape_can</x:v>
      </x:c>
      <x:c r="B71" s="19" t="str">
        <x:v>fill_work</x:v>
      </x:c>
      <x:c r="C71" s="18" t="n">
        <x:v>32</x:v>
      </x:c>
      <x:c r="D71" s="19" t="str">
        <x:v>grape can fill work</x:v>
      </x:c>
      <x:c r="E71" s="18" t="n">
        <x:v>6</x:v>
      </x:c>
      <x:c r="F71" s="18" t="n">
        <x:v>11</x:v>
      </x:c>
      <x:c r="G71" s="18" t="n">
        <x:v>11</x:v>
      </x:c>
      <x:c r="H71" s="18" t="n">
        <x:v>3</x:v>
      </x:c>
      <x:c r="I71" s="19" t="str">
        <x:v>GrapeFill</x:v>
      </x:c>
      <x:c r="J71" s="19" t="str">
        <x:v>candidate:system_variables.json</x:v>
      </x:c>
    </x:row>
    <x:row r="72" ht="22.5" customHeight="1">
      <x:c r="A72" s="15" t="str">
        <x:v>grape_can</x:v>
      </x:c>
      <x:c r="B72" s="15" t="str">
        <x:v>closure_entry</x:v>
      </x:c>
      <x:c r="C72" s="17" t="n">
        <x:v>19</x:v>
      </x:c>
      <x:c r="D72" s="15" t="str">
        <x:v>orange can closure entry</x:v>
      </x:c>
      <x:c r="E72" s="17" t="n">
        <x:v>8</x:v>
      </x:c>
      <x:c r="F72" s="17" t="n">
        <x:v>5</x:v>
      </x:c>
      <x:c r="G72" s="17" t="n">
        <x:v>5</x:v>
      </x:c>
      <x:c r="H72" s="17" t="n">
        <x:v>1</x:v>
      </x:c>
      <x:c r="I72" s="15" t="str">
        <x:v>共享工位</x:v>
      </x:c>
      <x:c r="J72" s="15" t="str">
        <x:v>candidate:system_variables.json</x:v>
      </x:c>
    </x:row>
    <x:row r="73" ht="22.5" customHeight="1">
      <x:c r="A73" s="19" t="str">
        <x:v>grape_can</x:v>
      </x:c>
      <x:c r="B73" s="19" t="str">
        <x:v>closure_work</x:v>
      </x:c>
      <x:c r="C73" s="18" t="n">
        <x:v>20</x:v>
      </x:c>
      <x:c r="D73" s="19" t="str">
        <x:v>orange can closure work</x:v>
      </x:c>
      <x:c r="E73" s="18" t="n">
        <x:v>8</x:v>
      </x:c>
      <x:c r="F73" s="18" t="n">
        <x:v>5</x:v>
      </x:c>
      <x:c r="G73" s="18" t="n">
        <x:v>5</x:v>
      </x:c>
      <x:c r="H73" s="18" t="n">
        <x:v>3</x:v>
      </x:c>
      <x:c r="I73" s="19" t="str">
        <x:v>共享工位</x:v>
      </x:c>
      <x:c r="J73" s="19" t="str">
        <x:v>candidate:system_variables.json</x:v>
      </x:c>
    </x:row>
    <x:row r="74" ht="22.5" customHeight="1">
      <x:c r="A74" s="15" t="str">
        <x:v>grape_can</x:v>
      </x:c>
      <x:c r="B74" s="15" t="str">
        <x:v>code_entry</x:v>
      </x:c>
      <x:c r="C74" s="17" t="n">
        <x:v>21</x:v>
      </x:c>
      <x:c r="D74" s="15" t="str">
        <x:v>orange can code entry</x:v>
      </x:c>
      <x:c r="E74" s="17" t="n">
        <x:v>14</x:v>
      </x:c>
      <x:c r="F74" s="17" t="n">
        <x:v>2</x:v>
      </x:c>
      <x:c r="G74" s="17" t="n">
        <x:v>2</x:v>
      </x:c>
      <x:c r="H74" s="17" t="n">
        <x:v>1</x:v>
      </x:c>
      <x:c r="I74" s="15" t="str">
        <x:v>共享工位</x:v>
      </x:c>
      <x:c r="J74" s="15" t="str">
        <x:v>candidate:system_variables.json</x:v>
      </x:c>
    </x:row>
    <x:row r="75" ht="22.5" customHeight="1">
      <x:c r="A75" s="19" t="str">
        <x:v>grape_can</x:v>
      </x:c>
      <x:c r="B75" s="19" t="str">
        <x:v>code_work</x:v>
      </x:c>
      <x:c r="C75" s="18" t="n">
        <x:v>22</x:v>
      </x:c>
      <x:c r="D75" s="19" t="str">
        <x:v>orange can code work</x:v>
      </x:c>
      <x:c r="E75" s="18" t="n">
        <x:v>14</x:v>
      </x:c>
      <x:c r="F75" s="18" t="n">
        <x:v>2</x:v>
      </x:c>
      <x:c r="G75" s="18" t="n">
        <x:v>2</x:v>
      </x:c>
      <x:c r="H75" s="18" t="n">
        <x:v>3</x:v>
      </x:c>
      <x:c r="I75" s="19" t="str">
        <x:v>共享工位</x:v>
      </x:c>
      <x:c r="J75" s="19" t="str">
        <x:v>candidate:system_variables.json</x:v>
      </x:c>
    </x:row>
    <x:row r="76" ht="22.5" customHeight="1">
      <x:c r="A76" s="15" t="str">
        <x:v>grape_can</x:v>
      </x:c>
      <x:c r="B76" s="15" t="str">
        <x:v>finished_entry</x:v>
      </x:c>
      <x:c r="C76" s="17" t="n">
        <x:v>23</x:v>
      </x:c>
      <x:c r="D76" s="15" t="str">
        <x:v>orange can finished entry</x:v>
      </x:c>
      <x:c r="E76" s="17" t="n">
        <x:v>11</x:v>
      </x:c>
      <x:c r="F76" s="17" t="n">
        <x:v>8</x:v>
      </x:c>
      <x:c r="G76" s="17" t="n">
        <x:v>8</x:v>
      </x:c>
      <x:c r="H76" s="17" t="n">
        <x:v>1</x:v>
      </x:c>
      <x:c r="I76" s="15" t="str">
        <x:v>共享工位</x:v>
      </x:c>
      <x:c r="J76" s="15" t="str">
        <x:v>candidate:system_variables.json</x:v>
      </x:c>
    </x:row>
    <x:row r="77" ht="22.5" customHeight="1">
      <x:c r="A77" s="19" t="str">
        <x:v>grape_can</x:v>
      </x:c>
      <x:c r="B77" s="19" t="str">
        <x:v>finished_work</x:v>
      </x:c>
      <x:c r="C77" s="18" t="n">
        <x:v>24</x:v>
      </x:c>
      <x:c r="D77" s="19" t="str">
        <x:v>orange can finished work</x:v>
      </x:c>
      <x:c r="E77" s="18" t="n">
        <x:v>11</x:v>
      </x:c>
      <x:c r="F77" s="18" t="n">
        <x:v>8</x:v>
      </x:c>
      <x:c r="G77" s="18" t="n">
        <x:v>8</x:v>
      </x:c>
      <x:c r="H77" s="18" t="n">
        <x:v>3</x:v>
      </x:c>
      <x:c r="I77" s="19" t="str">
        <x:v>共享工位</x:v>
      </x:c>
      <x:c r="J77" s="19" t="str">
        <x:v>candidate:system_variables.json</x:v>
      </x:c>
    </x:row>
    <x:row r="78" ht="22.5" customHeight="1">
      <x:c r="A78" s="15" t="str">
        <x:v>orange_small</x:v>
      </x:c>
      <x:c r="B78" s="15" t="str">
        <x:v>empty_entry</x:v>
      </x:c>
      <x:c r="C78" s="17" t="n">
        <x:v>33</x:v>
      </x:c>
      <x:c r="D78" s="15" t="str">
        <x:v>small empty entry</x:v>
      </x:c>
      <x:c r="E78" s="17" t="n">
        <x:v>3</x:v>
      </x:c>
      <x:c r="F78" s="17" t="n">
        <x:v>3</x:v>
      </x:c>
      <x:c r="G78" s="17" t="n">
        <x:v>3</x:v>
      </x:c>
      <x:c r="H78" s="17" t="n">
        <x:v>1</x:v>
      </x:c>
      <x:c r="I78" s="15" t="str">
        <x:v>共享工位</x:v>
      </x:c>
      <x:c r="J78" s="15" t="str">
        <x:v>candidate:system_variables.json</x:v>
      </x:c>
    </x:row>
    <x:row r="79" ht="22.5" customHeight="1">
      <x:c r="A79" s="19" t="str">
        <x:v>orange_small</x:v>
      </x:c>
      <x:c r="B79" s="19" t="str">
        <x:v>empty_work</x:v>
      </x:c>
      <x:c r="C79" s="18" t="n">
        <x:v>34</x:v>
      </x:c>
      <x:c r="D79" s="19" t="str">
        <x:v>small empty work</x:v>
      </x:c>
      <x:c r="E79" s="18" t="n">
        <x:v>3</x:v>
      </x:c>
      <x:c r="F79" s="18" t="n">
        <x:v>3</x:v>
      </x:c>
      <x:c r="G79" s="18" t="n">
        <x:v>3</x:v>
      </x:c>
      <x:c r="H79" s="18" t="n">
        <x:v>4</x:v>
      </x:c>
      <x:c r="I79" s="19" t="str">
        <x:v>共享工位</x:v>
      </x:c>
      <x:c r="J79" s="19" t="str">
        <x:v>candidate:system_variables.json</x:v>
      </x:c>
    </x:row>
    <x:row r="80" ht="22.5" customHeight="1">
      <x:c r="A80" s="15" t="str">
        <x:v>orange_small</x:v>
      </x:c>
      <x:c r="B80" s="15" t="str">
        <x:v>rinse_entry</x:v>
      </x:c>
      <x:c r="C80" s="17" t="n">
        <x:v>35</x:v>
      </x:c>
      <x:c r="D80" s="15" t="str">
        <x:v>small rinse entry</x:v>
      </x:c>
      <x:c r="E80" s="17" t="n">
        <x:v>13</x:v>
      </x:c>
      <x:c r="F80" s="17" t="n">
        <x:v>3</x:v>
      </x:c>
      <x:c r="G80" s="17" t="n">
        <x:v>3</x:v>
      </x:c>
      <x:c r="H80" s="17" t="n">
        <x:v>1</x:v>
      </x:c>
      <x:c r="I80" s="15" t="str">
        <x:v>共享工位</x:v>
      </x:c>
      <x:c r="J80" s="15" t="str">
        <x:v>candidate:system_variables.json</x:v>
      </x:c>
    </x:row>
    <x:row r="81" ht="22.5" customHeight="1">
      <x:c r="A81" s="19" t="str">
        <x:v>orange_small</x:v>
      </x:c>
      <x:c r="B81" s="19" t="str">
        <x:v>rinse_work</x:v>
      </x:c>
      <x:c r="C81" s="18" t="n">
        <x:v>36</x:v>
      </x:c>
      <x:c r="D81" s="19" t="str">
        <x:v>small rinse work</x:v>
      </x:c>
      <x:c r="E81" s="18" t="n">
        <x:v>13</x:v>
      </x:c>
      <x:c r="F81" s="18" t="n">
        <x:v>3</x:v>
      </x:c>
      <x:c r="G81" s="18" t="n">
        <x:v>3</x:v>
      </x:c>
      <x:c r="H81" s="18" t="n">
        <x:v>4</x:v>
      </x:c>
      <x:c r="I81" s="19" t="str">
        <x:v>共享工位</x:v>
      </x:c>
      <x:c r="J81" s="19" t="str">
        <x:v>candidate:system_variables.json</x:v>
      </x:c>
    </x:row>
    <x:row r="82" ht="22.5" customHeight="1">
      <x:c r="A82" s="15" t="str">
        <x:v>orange_small</x:v>
      </x:c>
      <x:c r="B82" s="15" t="str">
        <x:v>fill_entry</x:v>
      </x:c>
      <x:c r="C82" s="17" t="n">
        <x:v>37</x:v>
      </x:c>
      <x:c r="D82" s="15" t="str">
        <x:v>orange small fill entry</x:v>
      </x:c>
      <x:c r="E82" s="17" t="n">
        <x:v>4</x:v>
      </x:c>
      <x:c r="F82" s="17" t="n">
        <x:v>12</x:v>
      </x:c>
      <x:c r="G82" s="17" t="n">
        <x:v>12</x:v>
      </x:c>
      <x:c r="H82" s="17" t="n">
        <x:v>1</x:v>
      </x:c>
      <x:c r="I82" s="15" t="str">
        <x:v>OrangeFill</x:v>
      </x:c>
      <x:c r="J82" s="15" t="str">
        <x:v>candidate:system_variables.json</x:v>
      </x:c>
    </x:row>
    <x:row r="83" ht="22.5" customHeight="1">
      <x:c r="A83" s="19" t="str">
        <x:v>orange_small</x:v>
      </x:c>
      <x:c r="B83" s="19" t="str">
        <x:v>fill_work</x:v>
      </x:c>
      <x:c r="C83" s="18" t="n">
        <x:v>38</x:v>
      </x:c>
      <x:c r="D83" s="19" t="str">
        <x:v>orange small fill work</x:v>
      </x:c>
      <x:c r="E83" s="18" t="n">
        <x:v>4</x:v>
      </x:c>
      <x:c r="F83" s="18" t="n">
        <x:v>12</x:v>
      </x:c>
      <x:c r="G83" s="18" t="n">
        <x:v>12</x:v>
      </x:c>
      <x:c r="H83" s="18" t="n">
        <x:v>4</x:v>
      </x:c>
      <x:c r="I83" s="19" t="str">
        <x:v>OrangeFill</x:v>
      </x:c>
      <x:c r="J83" s="19" t="str">
        <x:v>candidate:system_variables.json</x:v>
      </x:c>
    </x:row>
    <x:row r="84" ht="22.5" customHeight="1">
      <x:c r="A84" s="15" t="str">
        <x:v>orange_small</x:v>
      </x:c>
      <x:c r="B84" s="15" t="str">
        <x:v>closure_entry</x:v>
      </x:c>
      <x:c r="C84" s="17" t="n">
        <x:v>39</x:v>
      </x:c>
      <x:c r="D84" s="15" t="str">
        <x:v>small closure entry</x:v>
      </x:c>
      <x:c r="E84" s="17" t="n">
        <x:v>9</x:v>
      </x:c>
      <x:c r="F84" s="17" t="n">
        <x:v>6</x:v>
      </x:c>
      <x:c r="G84" s="17" t="n">
        <x:v>6</x:v>
      </x:c>
      <x:c r="H84" s="17" t="n">
        <x:v>1</x:v>
      </x:c>
      <x:c r="I84" s="15" t="str">
        <x:v>共享工位</x:v>
      </x:c>
      <x:c r="J84" s="15" t="str">
        <x:v>candidate:system_variables.json</x:v>
      </x:c>
    </x:row>
    <x:row r="85" ht="22.5" customHeight="1">
      <x:c r="A85" s="19" t="str">
        <x:v>orange_small</x:v>
      </x:c>
      <x:c r="B85" s="19" t="str">
        <x:v>closure_work</x:v>
      </x:c>
      <x:c r="C85" s="18" t="n">
        <x:v>40</x:v>
      </x:c>
      <x:c r="D85" s="19" t="str">
        <x:v>small closure work</x:v>
      </x:c>
      <x:c r="E85" s="18" t="n">
        <x:v>9</x:v>
      </x:c>
      <x:c r="F85" s="18" t="n">
        <x:v>6</x:v>
      </x:c>
      <x:c r="G85" s="18" t="n">
        <x:v>6</x:v>
      </x:c>
      <x:c r="H85" s="18" t="n">
        <x:v>4</x:v>
      </x:c>
      <x:c r="I85" s="19" t="str">
        <x:v>共享工位</x:v>
      </x:c>
      <x:c r="J85" s="19" t="str">
        <x:v>candidate:system_variables.json</x:v>
      </x:c>
    </x:row>
    <x:row r="86" ht="22.5" customHeight="1">
      <x:c r="A86" s="15" t="str">
        <x:v>orange_small</x:v>
      </x:c>
      <x:c r="B86" s="15" t="str">
        <x:v>code_entry</x:v>
      </x:c>
      <x:c r="C86" s="17" t="n">
        <x:v>41</x:v>
      </x:c>
      <x:c r="D86" s="15" t="str">
        <x:v>small code entry</x:v>
      </x:c>
      <x:c r="E86" s="17" t="n">
        <x:v>14</x:v>
      </x:c>
      <x:c r="F86" s="17" t="n">
        <x:v>3</x:v>
      </x:c>
      <x:c r="G86" s="17" t="n">
        <x:v>3</x:v>
      </x:c>
      <x:c r="H86" s="17" t="n">
        <x:v>1</x:v>
      </x:c>
      <x:c r="I86" s="15" t="str">
        <x:v>共享工位</x:v>
      </x:c>
      <x:c r="J86" s="15" t="str">
        <x:v>candidate:system_variables.json</x:v>
      </x:c>
    </x:row>
    <x:row r="87" ht="22.5" customHeight="1">
      <x:c r="A87" s="19" t="str">
        <x:v>orange_small</x:v>
      </x:c>
      <x:c r="B87" s="19" t="str">
        <x:v>code_work</x:v>
      </x:c>
      <x:c r="C87" s="18" t="n">
        <x:v>42</x:v>
      </x:c>
      <x:c r="D87" s="19" t="str">
        <x:v>small code work</x:v>
      </x:c>
      <x:c r="E87" s="18" t="n">
        <x:v>14</x:v>
      </x:c>
      <x:c r="F87" s="18" t="n">
        <x:v>3</x:v>
      </x:c>
      <x:c r="G87" s="18" t="n">
        <x:v>3</x:v>
      </x:c>
      <x:c r="H87" s="18" t="n">
        <x:v>4</x:v>
      </x:c>
      <x:c r="I87" s="19" t="str">
        <x:v>共享工位</x:v>
      </x:c>
      <x:c r="J87" s="19" t="str">
        <x:v>candidate:system_variables.json</x:v>
      </x:c>
    </x:row>
    <x:row r="88" ht="22.5" customHeight="1">
      <x:c r="A88" s="15" t="str">
        <x:v>orange_small</x:v>
      </x:c>
      <x:c r="B88" s="15" t="str">
        <x:v>finished_entry</x:v>
      </x:c>
      <x:c r="C88" s="17" t="n">
        <x:v>43</x:v>
      </x:c>
      <x:c r="D88" s="15" t="str">
        <x:v>small finished entry</x:v>
      </x:c>
      <x:c r="E88" s="17" t="n">
        <x:v>12</x:v>
      </x:c>
      <x:c r="F88" s="17" t="n">
        <x:v>9</x:v>
      </x:c>
      <x:c r="G88" s="17" t="n">
        <x:v>9</x:v>
      </x:c>
      <x:c r="H88" s="17" t="n">
        <x:v>1</x:v>
      </x:c>
      <x:c r="I88" s="15" t="str">
        <x:v>共享工位</x:v>
      </x:c>
      <x:c r="J88" s="15" t="str">
        <x:v>candidate:system_variables.json</x:v>
      </x:c>
    </x:row>
    <x:row r="89" ht="22.5" customHeight="1">
      <x:c r="A89" s="19" t="str">
        <x:v>orange_small</x:v>
      </x:c>
      <x:c r="B89" s="19" t="str">
        <x:v>finished_work</x:v>
      </x:c>
      <x:c r="C89" s="18" t="n">
        <x:v>44</x:v>
      </x:c>
      <x:c r="D89" s="19" t="str">
        <x:v>small finished work</x:v>
      </x:c>
      <x:c r="E89" s="18" t="n">
        <x:v>12</x:v>
      </x:c>
      <x:c r="F89" s="18" t="n">
        <x:v>9</x:v>
      </x:c>
      <x:c r="G89" s="18" t="n">
        <x:v>9</x:v>
      </x:c>
      <x:c r="H89" s="18" t="n">
        <x:v>4</x:v>
      </x:c>
      <x:c r="I89" s="19" t="str">
        <x:v>共享工位</x:v>
      </x:c>
      <x:c r="J89" s="19" t="str">
        <x:v>candidate:system_variables.json</x:v>
      </x:c>
    </x:row>
    <x:row r="90" ht="22.5" customHeight="1">
      <x:c r="A90" s="15" t="str">
        <x:v>apple_small</x:v>
      </x:c>
      <x:c r="B90" s="15" t="str">
        <x:v>empty_entry</x:v>
      </x:c>
      <x:c r="C90" s="17" t="n">
        <x:v>33</x:v>
      </x:c>
      <x:c r="D90" s="15" t="str">
        <x:v>small empty entry</x:v>
      </x:c>
      <x:c r="E90" s="17" t="n">
        <x:v>3</x:v>
      </x:c>
      <x:c r="F90" s="17" t="n">
        <x:v>3</x:v>
      </x:c>
      <x:c r="G90" s="17" t="n">
        <x:v>3</x:v>
      </x:c>
      <x:c r="H90" s="17" t="n">
        <x:v>1</x:v>
      </x:c>
      <x:c r="I90" s="15" t="str">
        <x:v>共享工位</x:v>
      </x:c>
      <x:c r="J90" s="15" t="str">
        <x:v>candidate:system_variables.json</x:v>
      </x:c>
    </x:row>
    <x:row r="91" ht="22.5" customHeight="1">
      <x:c r="A91" s="19" t="str">
        <x:v>apple_small</x:v>
      </x:c>
      <x:c r="B91" s="19" t="str">
        <x:v>empty_work</x:v>
      </x:c>
      <x:c r="C91" s="18" t="n">
        <x:v>34</x:v>
      </x:c>
      <x:c r="D91" s="19" t="str">
        <x:v>small empty work</x:v>
      </x:c>
      <x:c r="E91" s="18" t="n">
        <x:v>3</x:v>
      </x:c>
      <x:c r="F91" s="18" t="n">
        <x:v>3</x:v>
      </x:c>
      <x:c r="G91" s="18" t="n">
        <x:v>3</x:v>
      </x:c>
      <x:c r="H91" s="18" t="n">
        <x:v>4</x:v>
      </x:c>
      <x:c r="I91" s="19" t="str">
        <x:v>共享工位</x:v>
      </x:c>
      <x:c r="J91" s="19" t="str">
        <x:v>candidate:system_variables.json</x:v>
      </x:c>
    </x:row>
    <x:row r="92" ht="22.5" customHeight="1">
      <x:c r="A92" s="15" t="str">
        <x:v>apple_small</x:v>
      </x:c>
      <x:c r="B92" s="15" t="str">
        <x:v>rinse_entry</x:v>
      </x:c>
      <x:c r="C92" s="17" t="n">
        <x:v>35</x:v>
      </x:c>
      <x:c r="D92" s="15" t="str">
        <x:v>small rinse entry</x:v>
      </x:c>
      <x:c r="E92" s="17" t="n">
        <x:v>13</x:v>
      </x:c>
      <x:c r="F92" s="17" t="n">
        <x:v>3</x:v>
      </x:c>
      <x:c r="G92" s="17" t="n">
        <x:v>3</x:v>
      </x:c>
      <x:c r="H92" s="17" t="n">
        <x:v>1</x:v>
      </x:c>
      <x:c r="I92" s="15" t="str">
        <x:v>共享工位</x:v>
      </x:c>
      <x:c r="J92" s="15" t="str">
        <x:v>candidate:system_variables.json</x:v>
      </x:c>
    </x:row>
    <x:row r="93" ht="22.5" customHeight="1">
      <x:c r="A93" s="19" t="str">
        <x:v>apple_small</x:v>
      </x:c>
      <x:c r="B93" s="19" t="str">
        <x:v>rinse_work</x:v>
      </x:c>
      <x:c r="C93" s="18" t="n">
        <x:v>36</x:v>
      </x:c>
      <x:c r="D93" s="19" t="str">
        <x:v>small rinse work</x:v>
      </x:c>
      <x:c r="E93" s="18" t="n">
        <x:v>13</x:v>
      </x:c>
      <x:c r="F93" s="18" t="n">
        <x:v>3</x:v>
      </x:c>
      <x:c r="G93" s="18" t="n">
        <x:v>3</x:v>
      </x:c>
      <x:c r="H93" s="18" t="n">
        <x:v>4</x:v>
      </x:c>
      <x:c r="I93" s="19" t="str">
        <x:v>共享工位</x:v>
      </x:c>
      <x:c r="J93" s="19" t="str">
        <x:v>candidate:system_variables.json</x:v>
      </x:c>
    </x:row>
    <x:row r="94" ht="22.5" customHeight="1">
      <x:c r="A94" s="15" t="str">
        <x:v>apple_small</x:v>
      </x:c>
      <x:c r="B94" s="15" t="str">
        <x:v>fill_entry</x:v>
      </x:c>
      <x:c r="C94" s="17" t="n">
        <x:v>45</x:v>
      </x:c>
      <x:c r="D94" s="15" t="str">
        <x:v>apple small fill entry</x:v>
      </x:c>
      <x:c r="E94" s="17" t="n">
        <x:v>5</x:v>
      </x:c>
      <x:c r="F94" s="17" t="n">
        <x:v>12</x:v>
      </x:c>
      <x:c r="G94" s="17" t="n">
        <x:v>12</x:v>
      </x:c>
      <x:c r="H94" s="17" t="n">
        <x:v>1</x:v>
      </x:c>
      <x:c r="I94" s="15" t="str">
        <x:v>AppleFill</x:v>
      </x:c>
      <x:c r="J94" s="15" t="str">
        <x:v>candidate:system_variables.json</x:v>
      </x:c>
    </x:row>
    <x:row r="95" ht="22.5" customHeight="1">
      <x:c r="A95" s="19" t="str">
        <x:v>apple_small</x:v>
      </x:c>
      <x:c r="B95" s="19" t="str">
        <x:v>fill_work</x:v>
      </x:c>
      <x:c r="C95" s="18" t="n">
        <x:v>46</x:v>
      </x:c>
      <x:c r="D95" s="19" t="str">
        <x:v>apple small fill work</x:v>
      </x:c>
      <x:c r="E95" s="18" t="n">
        <x:v>5</x:v>
      </x:c>
      <x:c r="F95" s="18" t="n">
        <x:v>12</x:v>
      </x:c>
      <x:c r="G95" s="18" t="n">
        <x:v>12</x:v>
      </x:c>
      <x:c r="H95" s="18" t="n">
        <x:v>4</x:v>
      </x:c>
      <x:c r="I95" s="19" t="str">
        <x:v>AppleFill</x:v>
      </x:c>
      <x:c r="J95" s="19" t="str">
        <x:v>candidate:system_variables.json</x:v>
      </x:c>
    </x:row>
    <x:row r="96" ht="22.5" customHeight="1">
      <x:c r="A96" s="15" t="str">
        <x:v>apple_small</x:v>
      </x:c>
      <x:c r="B96" s="15" t="str">
        <x:v>closure_entry</x:v>
      </x:c>
      <x:c r="C96" s="17" t="n">
        <x:v>39</x:v>
      </x:c>
      <x:c r="D96" s="15" t="str">
        <x:v>small closure entry</x:v>
      </x:c>
      <x:c r="E96" s="17" t="n">
        <x:v>9</x:v>
      </x:c>
      <x:c r="F96" s="17" t="n">
        <x:v>6</x:v>
      </x:c>
      <x:c r="G96" s="17" t="n">
        <x:v>6</x:v>
      </x:c>
      <x:c r="H96" s="17" t="n">
        <x:v>1</x:v>
      </x:c>
      <x:c r="I96" s="15" t="str">
        <x:v>共享工位</x:v>
      </x:c>
      <x:c r="J96" s="15" t="str">
        <x:v>candidate:system_variables.json</x:v>
      </x:c>
    </x:row>
    <x:row r="97" ht="22.5" customHeight="1">
      <x:c r="A97" s="19" t="str">
        <x:v>apple_small</x:v>
      </x:c>
      <x:c r="B97" s="19" t="str">
        <x:v>closure_work</x:v>
      </x:c>
      <x:c r="C97" s="18" t="n">
        <x:v>40</x:v>
      </x:c>
      <x:c r="D97" s="19" t="str">
        <x:v>small closure work</x:v>
      </x:c>
      <x:c r="E97" s="18" t="n">
        <x:v>9</x:v>
      </x:c>
      <x:c r="F97" s="18" t="n">
        <x:v>6</x:v>
      </x:c>
      <x:c r="G97" s="18" t="n">
        <x:v>6</x:v>
      </x:c>
      <x:c r="H97" s="18" t="n">
        <x:v>4</x:v>
      </x:c>
      <x:c r="I97" s="19" t="str">
        <x:v>共享工位</x:v>
      </x:c>
      <x:c r="J97" s="19" t="str">
        <x:v>candidate:system_variables.json</x:v>
      </x:c>
    </x:row>
    <x:row r="98" ht="22.5" customHeight="1">
      <x:c r="A98" s="15" t="str">
        <x:v>apple_small</x:v>
      </x:c>
      <x:c r="B98" s="15" t="str">
        <x:v>code_entry</x:v>
      </x:c>
      <x:c r="C98" s="17" t="n">
        <x:v>41</x:v>
      </x:c>
      <x:c r="D98" s="15" t="str">
        <x:v>small code entry</x:v>
      </x:c>
      <x:c r="E98" s="17" t="n">
        <x:v>14</x:v>
      </x:c>
      <x:c r="F98" s="17" t="n">
        <x:v>3</x:v>
      </x:c>
      <x:c r="G98" s="17" t="n">
        <x:v>3</x:v>
      </x:c>
      <x:c r="H98" s="17" t="n">
        <x:v>1</x:v>
      </x:c>
      <x:c r="I98" s="15" t="str">
        <x:v>共享工位</x:v>
      </x:c>
      <x:c r="J98" s="15" t="str">
        <x:v>candidate:system_variables.json</x:v>
      </x:c>
    </x:row>
    <x:row r="99" ht="22.5" customHeight="1">
      <x:c r="A99" s="19" t="str">
        <x:v>apple_small</x:v>
      </x:c>
      <x:c r="B99" s="19" t="str">
        <x:v>code_work</x:v>
      </x:c>
      <x:c r="C99" s="18" t="n">
        <x:v>42</x:v>
      </x:c>
      <x:c r="D99" s="19" t="str">
        <x:v>small code work</x:v>
      </x:c>
      <x:c r="E99" s="18" t="n">
        <x:v>14</x:v>
      </x:c>
      <x:c r="F99" s="18" t="n">
        <x:v>3</x:v>
      </x:c>
      <x:c r="G99" s="18" t="n">
        <x:v>3</x:v>
      </x:c>
      <x:c r="H99" s="18" t="n">
        <x:v>4</x:v>
      </x:c>
      <x:c r="I99" s="19" t="str">
        <x:v>共享工位</x:v>
      </x:c>
      <x:c r="J99" s="19" t="str">
        <x:v>candidate:system_variables.json</x:v>
      </x:c>
    </x:row>
    <x:row r="100" ht="22.5" customHeight="1">
      <x:c r="A100" s="15" t="str">
        <x:v>apple_small</x:v>
      </x:c>
      <x:c r="B100" s="15" t="str">
        <x:v>finished_entry</x:v>
      </x:c>
      <x:c r="C100" s="17" t="n">
        <x:v>43</x:v>
      </x:c>
      <x:c r="D100" s="15" t="str">
        <x:v>small finished entry</x:v>
      </x:c>
      <x:c r="E100" s="17" t="n">
        <x:v>12</x:v>
      </x:c>
      <x:c r="F100" s="17" t="n">
        <x:v>9</x:v>
      </x:c>
      <x:c r="G100" s="17" t="n">
        <x:v>9</x:v>
      </x:c>
      <x:c r="H100" s="17" t="n">
        <x:v>1</x:v>
      </x:c>
      <x:c r="I100" s="15" t="str">
        <x:v>共享工位</x:v>
      </x:c>
      <x:c r="J100" s="15" t="str">
        <x:v>candidate:system_variables.json</x:v>
      </x:c>
    </x:row>
    <x:row r="101" ht="22.5" customHeight="1">
      <x:c r="A101" s="19" t="str">
        <x:v>apple_small</x:v>
      </x:c>
      <x:c r="B101" s="19" t="str">
        <x:v>finished_work</x:v>
      </x:c>
      <x:c r="C101" s="18" t="n">
        <x:v>44</x:v>
      </x:c>
      <x:c r="D101" s="19" t="str">
        <x:v>small finished work</x:v>
      </x:c>
      <x:c r="E101" s="18" t="n">
        <x:v>12</x:v>
      </x:c>
      <x:c r="F101" s="18" t="n">
        <x:v>9</x:v>
      </x:c>
      <x:c r="G101" s="18" t="n">
        <x:v>9</x:v>
      </x:c>
      <x:c r="H101" s="18" t="n">
        <x:v>4</x:v>
      </x:c>
      <x:c r="I101" s="19" t="str">
        <x:v>共享工位</x:v>
      </x:c>
      <x:c r="J101" s="19" t="str">
        <x:v>candidate:system_variables.json</x:v>
      </x:c>
    </x:row>
    <x:row r="102" ht="22.5" customHeight="1">
      <x:c r="A102" s="15" t="str">
        <x:v>grape_small</x:v>
      </x:c>
      <x:c r="B102" s="15" t="str">
        <x:v>empty_entry</x:v>
      </x:c>
      <x:c r="C102" s="17" t="n">
        <x:v>33</x:v>
      </x:c>
      <x:c r="D102" s="15" t="str">
        <x:v>small empty entry</x:v>
      </x:c>
      <x:c r="E102" s="17" t="n">
        <x:v>3</x:v>
      </x:c>
      <x:c r="F102" s="17" t="n">
        <x:v>3</x:v>
      </x:c>
      <x:c r="G102" s="17" t="n">
        <x:v>3</x:v>
      </x:c>
      <x:c r="H102" s="17" t="n">
        <x:v>1</x:v>
      </x:c>
      <x:c r="I102" s="15" t="str">
        <x:v>共享工位</x:v>
      </x:c>
      <x:c r="J102" s="15" t="str">
        <x:v>candidate:system_variables.json</x:v>
      </x:c>
    </x:row>
    <x:row r="103" ht="22.5" customHeight="1">
      <x:c r="A103" s="19" t="str">
        <x:v>grape_small</x:v>
      </x:c>
      <x:c r="B103" s="19" t="str">
        <x:v>empty_work</x:v>
      </x:c>
      <x:c r="C103" s="18" t="n">
        <x:v>34</x:v>
      </x:c>
      <x:c r="D103" s="19" t="str">
        <x:v>small empty work</x:v>
      </x:c>
      <x:c r="E103" s="18" t="n">
        <x:v>3</x:v>
      </x:c>
      <x:c r="F103" s="18" t="n">
        <x:v>3</x:v>
      </x:c>
      <x:c r="G103" s="18" t="n">
        <x:v>3</x:v>
      </x:c>
      <x:c r="H103" s="18" t="n">
        <x:v>4</x:v>
      </x:c>
      <x:c r="I103" s="19" t="str">
        <x:v>共享工位</x:v>
      </x:c>
      <x:c r="J103" s="19" t="str">
        <x:v>candidate:system_variables.json</x:v>
      </x:c>
    </x:row>
    <x:row r="104" ht="22.5" customHeight="1">
      <x:c r="A104" s="15" t="str">
        <x:v>grape_small</x:v>
      </x:c>
      <x:c r="B104" s="15" t="str">
        <x:v>rinse_entry</x:v>
      </x:c>
      <x:c r="C104" s="17" t="n">
        <x:v>35</x:v>
      </x:c>
      <x:c r="D104" s="15" t="str">
        <x:v>small rinse entry</x:v>
      </x:c>
      <x:c r="E104" s="17" t="n">
        <x:v>13</x:v>
      </x:c>
      <x:c r="F104" s="17" t="n">
        <x:v>3</x:v>
      </x:c>
      <x:c r="G104" s="17" t="n">
        <x:v>3</x:v>
      </x:c>
      <x:c r="H104" s="17" t="n">
        <x:v>1</x:v>
      </x:c>
      <x:c r="I104" s="15" t="str">
        <x:v>共享工位</x:v>
      </x:c>
      <x:c r="J104" s="15" t="str">
        <x:v>candidate:system_variables.json</x:v>
      </x:c>
    </x:row>
    <x:row r="105" ht="22.5" customHeight="1">
      <x:c r="A105" s="19" t="str">
        <x:v>grape_small</x:v>
      </x:c>
      <x:c r="B105" s="19" t="str">
        <x:v>rinse_work</x:v>
      </x:c>
      <x:c r="C105" s="18" t="n">
        <x:v>36</x:v>
      </x:c>
      <x:c r="D105" s="19" t="str">
        <x:v>small rinse work</x:v>
      </x:c>
      <x:c r="E105" s="18" t="n">
        <x:v>13</x:v>
      </x:c>
      <x:c r="F105" s="18" t="n">
        <x:v>3</x:v>
      </x:c>
      <x:c r="G105" s="18" t="n">
        <x:v>3</x:v>
      </x:c>
      <x:c r="H105" s="18" t="n">
        <x:v>4</x:v>
      </x:c>
      <x:c r="I105" s="19" t="str">
        <x:v>共享工位</x:v>
      </x:c>
      <x:c r="J105" s="19" t="str">
        <x:v>candidate:system_variables.json</x:v>
      </x:c>
    </x:row>
    <x:row r="106" ht="22.5" customHeight="1">
      <x:c r="A106" s="15" t="str">
        <x:v>grape_small</x:v>
      </x:c>
      <x:c r="B106" s="15" t="str">
        <x:v>fill_entry</x:v>
      </x:c>
      <x:c r="C106" s="17" t="n">
        <x:v>47</x:v>
      </x:c>
      <x:c r="D106" s="15" t="str">
        <x:v>grape small fill entry</x:v>
      </x:c>
      <x:c r="E106" s="17" t="n">
        <x:v>6</x:v>
      </x:c>
      <x:c r="F106" s="17" t="n">
        <x:v>12</x:v>
      </x:c>
      <x:c r="G106" s="17" t="n">
        <x:v>12</x:v>
      </x:c>
      <x:c r="H106" s="17" t="n">
        <x:v>1</x:v>
      </x:c>
      <x:c r="I106" s="15" t="str">
        <x:v>GrapeFill</x:v>
      </x:c>
      <x:c r="J106" s="15" t="str">
        <x:v>candidate:system_variables.json</x:v>
      </x:c>
    </x:row>
    <x:row r="107" ht="22.5" customHeight="1">
      <x:c r="A107" s="19" t="str">
        <x:v>grape_small</x:v>
      </x:c>
      <x:c r="B107" s="19" t="str">
        <x:v>fill_work</x:v>
      </x:c>
      <x:c r="C107" s="18" t="n">
        <x:v>48</x:v>
      </x:c>
      <x:c r="D107" s="19" t="str">
        <x:v>grape small fill work</x:v>
      </x:c>
      <x:c r="E107" s="18" t="n">
        <x:v>6</x:v>
      </x:c>
      <x:c r="F107" s="18" t="n">
        <x:v>12</x:v>
      </x:c>
      <x:c r="G107" s="18" t="n">
        <x:v>12</x:v>
      </x:c>
      <x:c r="H107" s="18" t="n">
        <x:v>4</x:v>
      </x:c>
      <x:c r="I107" s="19" t="str">
        <x:v>GrapeFill</x:v>
      </x:c>
      <x:c r="J107" s="19" t="str">
        <x:v>candidate:system_variables.json</x:v>
      </x:c>
    </x:row>
    <x:row r="108" ht="22.5" customHeight="1">
      <x:c r="A108" s="15" t="str">
        <x:v>grape_small</x:v>
      </x:c>
      <x:c r="B108" s="15" t="str">
        <x:v>closure_entry</x:v>
      </x:c>
      <x:c r="C108" s="17" t="n">
        <x:v>39</x:v>
      </x:c>
      <x:c r="D108" s="15" t="str">
        <x:v>small closure entry</x:v>
      </x:c>
      <x:c r="E108" s="17" t="n">
        <x:v>9</x:v>
      </x:c>
      <x:c r="F108" s="17" t="n">
        <x:v>6</x:v>
      </x:c>
      <x:c r="G108" s="17" t="n">
        <x:v>6</x:v>
      </x:c>
      <x:c r="H108" s="17" t="n">
        <x:v>1</x:v>
      </x:c>
      <x:c r="I108" s="15" t="str">
        <x:v>共享工位</x:v>
      </x:c>
      <x:c r="J108" s="15" t="str">
        <x:v>candidate:system_variables.json</x:v>
      </x:c>
    </x:row>
    <x:row r="109" ht="22.5" customHeight="1">
      <x:c r="A109" s="19" t="str">
        <x:v>grape_small</x:v>
      </x:c>
      <x:c r="B109" s="19" t="str">
        <x:v>closure_work</x:v>
      </x:c>
      <x:c r="C109" s="18" t="n">
        <x:v>40</x:v>
      </x:c>
      <x:c r="D109" s="19" t="str">
        <x:v>small closure work</x:v>
      </x:c>
      <x:c r="E109" s="18" t="n">
        <x:v>9</x:v>
      </x:c>
      <x:c r="F109" s="18" t="n">
        <x:v>6</x:v>
      </x:c>
      <x:c r="G109" s="18" t="n">
        <x:v>6</x:v>
      </x:c>
      <x:c r="H109" s="18" t="n">
        <x:v>4</x:v>
      </x:c>
      <x:c r="I109" s="19" t="str">
        <x:v>共享工位</x:v>
      </x:c>
      <x:c r="J109" s="19" t="str">
        <x:v>candidate:system_variables.json</x:v>
      </x:c>
    </x:row>
    <x:row r="110" ht="22.5" customHeight="1">
      <x:c r="A110" s="15" t="str">
        <x:v>grape_small</x:v>
      </x:c>
      <x:c r="B110" s="15" t="str">
        <x:v>code_entry</x:v>
      </x:c>
      <x:c r="C110" s="17" t="n">
        <x:v>41</x:v>
      </x:c>
      <x:c r="D110" s="15" t="str">
        <x:v>small code entry</x:v>
      </x:c>
      <x:c r="E110" s="17" t="n">
        <x:v>14</x:v>
      </x:c>
      <x:c r="F110" s="17" t="n">
        <x:v>3</x:v>
      </x:c>
      <x:c r="G110" s="17" t="n">
        <x:v>3</x:v>
      </x:c>
      <x:c r="H110" s="17" t="n">
        <x:v>1</x:v>
      </x:c>
      <x:c r="I110" s="15" t="str">
        <x:v>共享工位</x:v>
      </x:c>
      <x:c r="J110" s="15" t="str">
        <x:v>candidate:system_variables.json</x:v>
      </x:c>
    </x:row>
    <x:row r="111" ht="22.5" customHeight="1">
      <x:c r="A111" s="19" t="str">
        <x:v>grape_small</x:v>
      </x:c>
      <x:c r="B111" s="19" t="str">
        <x:v>code_work</x:v>
      </x:c>
      <x:c r="C111" s="18" t="n">
        <x:v>42</x:v>
      </x:c>
      <x:c r="D111" s="19" t="str">
        <x:v>small code work</x:v>
      </x:c>
      <x:c r="E111" s="18" t="n">
        <x:v>14</x:v>
      </x:c>
      <x:c r="F111" s="18" t="n">
        <x:v>3</x:v>
      </x:c>
      <x:c r="G111" s="18" t="n">
        <x:v>3</x:v>
      </x:c>
      <x:c r="H111" s="18" t="n">
        <x:v>4</x:v>
      </x:c>
      <x:c r="I111" s="19" t="str">
        <x:v>共享工位</x:v>
      </x:c>
      <x:c r="J111" s="19" t="str">
        <x:v>candidate:system_variables.json</x:v>
      </x:c>
    </x:row>
    <x:row r="112" ht="22.5" customHeight="1">
      <x:c r="A112" s="15" t="str">
        <x:v>grape_small</x:v>
      </x:c>
      <x:c r="B112" s="15" t="str">
        <x:v>finished_entry</x:v>
      </x:c>
      <x:c r="C112" s="17" t="n">
        <x:v>43</x:v>
      </x:c>
      <x:c r="D112" s="15" t="str">
        <x:v>small finished entry</x:v>
      </x:c>
      <x:c r="E112" s="17" t="n">
        <x:v>12</x:v>
      </x:c>
      <x:c r="F112" s="17" t="n">
        <x:v>9</x:v>
      </x:c>
      <x:c r="G112" s="17" t="n">
        <x:v>9</x:v>
      </x:c>
      <x:c r="H112" s="17" t="n">
        <x:v>1</x:v>
      </x:c>
      <x:c r="I112" s="15" t="str">
        <x:v>共享工位</x:v>
      </x:c>
      <x:c r="J112" s="15" t="str">
        <x:v>candidate:system_variables.json</x:v>
      </x:c>
    </x:row>
    <x:row r="113" ht="22.5" customHeight="1">
      <x:c r="A113" s="19" t="str">
        <x:v>grape_small</x:v>
      </x:c>
      <x:c r="B113" s="19" t="str">
        <x:v>finished_work</x:v>
      </x:c>
      <x:c r="C113" s="18" t="n">
        <x:v>44</x:v>
      </x:c>
      <x:c r="D113" s="19" t="str">
        <x:v>small finished work</x:v>
      </x:c>
      <x:c r="E113" s="18" t="n">
        <x:v>12</x:v>
      </x:c>
      <x:c r="F113" s="18" t="n">
        <x:v>9</x:v>
      </x:c>
      <x:c r="G113" s="18" t="n">
        <x:v>9</x:v>
      </x:c>
      <x:c r="H113" s="18" t="n">
        <x:v>4</x:v>
      </x:c>
      <x:c r="I113" s="19" t="str">
        <x:v>共享工位</x:v>
      </x:c>
      <x:c r="J113" s="19" t="str">
        <x:v>candidate:system_variables.json</x:v>
      </x:c>
    </x:row>
  </x:sheetData>
  <x:pageMargins left="0.7" right="0.7" top="0.75" bottom="0.75" header="0.3" footer="0.3"/>
  <x:tableParts count="1">
    <x:tablePart xmlns:r="http://schemas.openxmlformats.org/officeDocument/2006/relationships" r:id="R0f9f5da52c3c421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0" hidden="0" customWidth="1"/>
    <x:col min="2" max="2" width="40" hidden="0" customWidth="1"/>
    <x:col min="3" max="3" width="9.380000114440918" hidden="0" customWidth="1"/>
    <x:col min="4" max="4" width="9.380000114440918" hidden="0" customWidth="1"/>
    <x:col min="5" max="5" width="9.380000114440918" hidden="0" customWidth="1"/>
    <x:col min="6" max="6" width="9.380000114440918" hidden="0" customWidth="1"/>
    <x:col min="7" max="7" width="18.75" hidden="0" customWidth="1"/>
    <x:col min="8" max="8" width="87.5" hidden="0" customWidth="1"/>
    <x:col min="9" max="9" width="40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5.5" customHeight="1">
      <x:c r="A2" s="4" t="str">
        <x:v>49个生产点位与四定位电机PR映射</x:v>
      </x:c>
      <x:c r="B2" s="5"/>
      <x:c r="C2" s="5"/>
      <x:c r="D2" s="5"/>
      <x:c r="E2" s="5"/>
      <x:c r="F2" s="5"/>
      <x:c r="G2" s="5"/>
      <x:c r="H2" s="5"/>
      <x:c r="I2" s="5"/>
    </x:row>
    <x:row r="3" ht="21" customHeight="1">
      <x:c r="A3" s="6" t="str">
        <x:v>前33个点保留，新增16个点；所有数值是预先调试好的PR编号，不是mm坐标。Y1/Y2分别发命令并轮询，不表示硬件同步。</x:v>
      </x:c>
      <x:c r="B3" s="2"/>
      <x:c r="C3" s="2"/>
      <x:c r="D3" s="2"/>
      <x:c r="E3" s="2"/>
      <x:c r="F3" s="2"/>
      <x:c r="G3" s="2"/>
      <x:c r="H3" s="2"/>
      <x:c r="I3" s="2"/>
    </x:row>
    <x:row r="4" ht="21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31.5" customHeight="1">
      <x:c r="A5" s="11" t="str">
        <x:v>点位ID</x:v>
      </x:c>
      <x:c r="B5" s="12" t="str">
        <x:v>点位名</x:v>
      </x:c>
      <x:c r="C5" s="12" t="str">
        <x:v>X PR</x:v>
      </x:c>
      <x:c r="D5" s="12" t="str">
        <x:v>Y1 PR</x:v>
      </x:c>
      <x:c r="E5" s="12" t="str">
        <x:v>Y2 PR</x:v>
      </x:c>
      <x:c r="F5" s="12" t="str">
        <x:v>Z PR</x:v>
      </x:c>
      <x:c r="G5" s="12" t="str">
        <x:v>来源类型</x:v>
      </x:c>
      <x:c r="H5" s="12" t="str">
        <x:v>被哪些配方字段使用</x:v>
      </x:c>
      <x:c r="I5" s="13" t="str">
        <x:v>来源</x:v>
      </x:c>
    </x:row>
    <x:row r="6" ht="47.25" customHeight="1">
      <x:c r="A6" s="17" t="n">
        <x:v>0</x:v>
      </x:c>
      <x:c r="B6" s="15" t="str">
        <x:v>Commissioned home PR0</x:v>
      </x:c>
      <x:c r="C6" s="17" t="n">
        <x:v>0</x:v>
      </x:c>
      <x:c r="D6" s="17" t="n">
        <x:v>0</x:v>
      </x:c>
      <x:c r="E6" s="17" t="n">
        <x:v>0</x:v>
      </x:c>
      <x:c r="F6" s="17" t="n">
        <x:v>0</x:v>
      </x:c>
      <x:c r="G6" s="15" t="str">
        <x:v>保留基线</x:v>
      </x:c>
      <x:c r="H6" s="15" t="str">
        <x:v>orange_family:home_point; orange_can:home_point; apple_family:home_point; apple_can:home_point; grape_family:home_point; grape_can:home_point; orange_small:home_point; apple_small:home_point; grape_small:home_point</x:v>
      </x:c>
      <x:c r="I6" s="15" t="str">
        <x:v>candidate:system_variables.json</x:v>
      </x:c>
    </x:row>
    <x:row r="7" ht="22.5" customHeight="1">
      <x:c r="A7" s="18" t="n">
        <x:v>1</x:v>
      </x:c>
      <x:c r="B7" s="19" t="str">
        <x:v>orange family empty entry</x:v>
      </x:c>
      <x:c r="C7" s="18" t="n">
        <x:v>1</x:v>
      </x:c>
      <x:c r="D7" s="18" t="n">
        <x:v>1</x:v>
      </x:c>
      <x:c r="E7" s="18" t="n">
        <x:v>1</x:v>
      </x:c>
      <x:c r="F7" s="18" t="n">
        <x:v>1</x:v>
      </x:c>
      <x:c r="G7" s="19" t="str">
        <x:v>保留基线</x:v>
      </x:c>
      <x:c r="H7" s="19" t="str">
        <x:v>orange_family:empty_entry; apple_family:empty_entry; grape_family:empty_entry</x:v>
      </x:c>
      <x:c r="I7" s="19" t="str">
        <x:v>candidate:system_variables.json</x:v>
      </x:c>
    </x:row>
    <x:row r="8" ht="22.5" customHeight="1">
      <x:c r="A8" s="17" t="n">
        <x:v>2</x:v>
      </x:c>
      <x:c r="B8" s="15" t="str">
        <x:v>orange family empty work</x:v>
      </x:c>
      <x:c r="C8" s="17" t="n">
        <x:v>1</x:v>
      </x:c>
      <x:c r="D8" s="17" t="n">
        <x:v>1</x:v>
      </x:c>
      <x:c r="E8" s="17" t="n">
        <x:v>1</x:v>
      </x:c>
      <x:c r="F8" s="17" t="n">
        <x:v>2</x:v>
      </x:c>
      <x:c r="G8" s="15" t="str">
        <x:v>保留基线</x:v>
      </x:c>
      <x:c r="H8" s="15" t="str">
        <x:v>orange_family:empty_work; apple_family:empty_work; grape_family:empty_work</x:v>
      </x:c>
      <x:c r="I8" s="15" t="str">
        <x:v>candidate:system_variables.json</x:v>
      </x:c>
    </x:row>
    <x:row r="9" ht="22.5" customHeight="1">
      <x:c r="A9" s="18" t="n">
        <x:v>3</x:v>
      </x:c>
      <x:c r="B9" s="19" t="str">
        <x:v>orange family rinse entry</x:v>
      </x:c>
      <x:c r="C9" s="18" t="n">
        <x:v>13</x:v>
      </x:c>
      <x:c r="D9" s="18" t="n">
        <x:v>1</x:v>
      </x:c>
      <x:c r="E9" s="18" t="n">
        <x:v>1</x:v>
      </x:c>
      <x:c r="F9" s="18" t="n">
        <x:v>1</x:v>
      </x:c>
      <x:c r="G9" s="19" t="str">
        <x:v>保留基线</x:v>
      </x:c>
      <x:c r="H9" s="19" t="str">
        <x:v>orange_family:rinse_entry; apple_family:rinse_entry; grape_family:rinse_entry</x:v>
      </x:c>
      <x:c r="I9" s="19" t="str">
        <x:v>candidate:system_variables.json</x:v>
      </x:c>
    </x:row>
    <x:row r="10" ht="22.5" customHeight="1">
      <x:c r="A10" s="17" t="n">
        <x:v>4</x:v>
      </x:c>
      <x:c r="B10" s="15" t="str">
        <x:v>orange family rinse work</x:v>
      </x:c>
      <x:c r="C10" s="17" t="n">
        <x:v>13</x:v>
      </x:c>
      <x:c r="D10" s="17" t="n">
        <x:v>1</x:v>
      </x:c>
      <x:c r="E10" s="17" t="n">
        <x:v>1</x:v>
      </x:c>
      <x:c r="F10" s="17" t="n">
        <x:v>2</x:v>
      </x:c>
      <x:c r="G10" s="15" t="str">
        <x:v>保留基线</x:v>
      </x:c>
      <x:c r="H10" s="15" t="str">
        <x:v>orange_family:rinse_work; apple_family:rinse_work; grape_family:rinse_work</x:v>
      </x:c>
      <x:c r="I10" s="15" t="str">
        <x:v>candidate:system_variables.json</x:v>
      </x:c>
    </x:row>
    <x:row r="11" ht="22.5" customHeight="1">
      <x:c r="A11" s="18" t="n">
        <x:v>5</x:v>
      </x:c>
      <x:c r="B11" s="19" t="str">
        <x:v>orange family fill entry</x:v>
      </x:c>
      <x:c r="C11" s="18" t="n">
        <x:v>4</x:v>
      </x:c>
      <x:c r="D11" s="18" t="n">
        <x:v>10</x:v>
      </x:c>
      <x:c r="E11" s="18" t="n">
        <x:v>10</x:v>
      </x:c>
      <x:c r="F11" s="18" t="n">
        <x:v>1</x:v>
      </x:c>
      <x:c r="G11" s="19" t="str">
        <x:v>保留基线</x:v>
      </x:c>
      <x:c r="H11" s="19" t="str">
        <x:v>orange_family:fill_entry</x:v>
      </x:c>
      <x:c r="I11" s="19" t="str">
        <x:v>candidate:system_variables.json</x:v>
      </x:c>
    </x:row>
    <x:row r="12" ht="22.5" customHeight="1">
      <x:c r="A12" s="17" t="n">
        <x:v>6</x:v>
      </x:c>
      <x:c r="B12" s="15" t="str">
        <x:v>orange family fill work</x:v>
      </x:c>
      <x:c r="C12" s="17" t="n">
        <x:v>4</x:v>
      </x:c>
      <x:c r="D12" s="17" t="n">
        <x:v>10</x:v>
      </x:c>
      <x:c r="E12" s="17" t="n">
        <x:v>10</x:v>
      </x:c>
      <x:c r="F12" s="17" t="n">
        <x:v>2</x:v>
      </x:c>
      <x:c r="G12" s="15" t="str">
        <x:v>保留基线</x:v>
      </x:c>
      <x:c r="H12" s="15" t="str">
        <x:v>orange_family:fill_work</x:v>
      </x:c>
      <x:c r="I12" s="15" t="str">
        <x:v>candidate:system_variables.json</x:v>
      </x:c>
    </x:row>
    <x:row r="13" ht="22.5" customHeight="1">
      <x:c r="A13" s="18" t="n">
        <x:v>7</x:v>
      </x:c>
      <x:c r="B13" s="19" t="str">
        <x:v>orange family closure entry</x:v>
      </x:c>
      <x:c r="C13" s="18" t="n">
        <x:v>7</x:v>
      </x:c>
      <x:c r="D13" s="18" t="n">
        <x:v>4</x:v>
      </x:c>
      <x:c r="E13" s="18" t="n">
        <x:v>4</x:v>
      </x:c>
      <x:c r="F13" s="18" t="n">
        <x:v>1</x:v>
      </x:c>
      <x:c r="G13" s="19" t="str">
        <x:v>保留基线</x:v>
      </x:c>
      <x:c r="H13" s="19" t="str">
        <x:v>orange_family:closure_entry; apple_family:closure_entry; grape_family:closure_entry</x:v>
      </x:c>
      <x:c r="I13" s="19" t="str">
        <x:v>candidate:system_variables.json</x:v>
      </x:c>
    </x:row>
    <x:row r="14" ht="22.5" customHeight="1">
      <x:c r="A14" s="17" t="n">
        <x:v>8</x:v>
      </x:c>
      <x:c r="B14" s="15" t="str">
        <x:v>orange family closure work</x:v>
      </x:c>
      <x:c r="C14" s="17" t="n">
        <x:v>7</x:v>
      </x:c>
      <x:c r="D14" s="17" t="n">
        <x:v>4</x:v>
      </x:c>
      <x:c r="E14" s="17" t="n">
        <x:v>4</x:v>
      </x:c>
      <x:c r="F14" s="17" t="n">
        <x:v>2</x:v>
      </x:c>
      <x:c r="G14" s="15" t="str">
        <x:v>保留基线</x:v>
      </x:c>
      <x:c r="H14" s="15" t="str">
        <x:v>orange_family:closure_work; apple_family:closure_work; grape_family:closure_work</x:v>
      </x:c>
      <x:c r="I14" s="15" t="str">
        <x:v>candidate:system_variables.json</x:v>
      </x:c>
    </x:row>
    <x:row r="15" ht="22.5" customHeight="1">
      <x:c r="A15" s="18" t="n">
        <x:v>9</x:v>
      </x:c>
      <x:c r="B15" s="19" t="str">
        <x:v>orange family code entry</x:v>
      </x:c>
      <x:c r="C15" s="18" t="n">
        <x:v>14</x:v>
      </x:c>
      <x:c r="D15" s="18" t="n">
        <x:v>1</x:v>
      </x:c>
      <x:c r="E15" s="18" t="n">
        <x:v>1</x:v>
      </x:c>
      <x:c r="F15" s="18" t="n">
        <x:v>1</x:v>
      </x:c>
      <x:c r="G15" s="19" t="str">
        <x:v>保留基线</x:v>
      </x:c>
      <x:c r="H15" s="19" t="str">
        <x:v>orange_family:code_entry; apple_family:code_entry; grape_family:code_entry</x:v>
      </x:c>
      <x:c r="I15" s="19" t="str">
        <x:v>candidate:system_variables.json</x:v>
      </x:c>
    </x:row>
    <x:row r="16" ht="22.5" customHeight="1">
      <x:c r="A16" s="17" t="n">
        <x:v>10</x:v>
      </x:c>
      <x:c r="B16" s="15" t="str">
        <x:v>orange family code work</x:v>
      </x:c>
      <x:c r="C16" s="17" t="n">
        <x:v>14</x:v>
      </x:c>
      <x:c r="D16" s="17" t="n">
        <x:v>1</x:v>
      </x:c>
      <x:c r="E16" s="17" t="n">
        <x:v>1</x:v>
      </x:c>
      <x:c r="F16" s="17" t="n">
        <x:v>2</x:v>
      </x:c>
      <x:c r="G16" s="15" t="str">
        <x:v>保留基线</x:v>
      </x:c>
      <x:c r="H16" s="15" t="str">
        <x:v>orange_family:code_work; apple_family:code_work; grape_family:code_work</x:v>
      </x:c>
      <x:c r="I16" s="15" t="str">
        <x:v>candidate:system_variables.json</x:v>
      </x:c>
    </x:row>
    <x:row r="17" ht="22.5" customHeight="1">
      <x:c r="A17" s="18" t="n">
        <x:v>11</x:v>
      </x:c>
      <x:c r="B17" s="19" t="str">
        <x:v>orange family finished entry</x:v>
      </x:c>
      <x:c r="C17" s="18" t="n">
        <x:v>10</x:v>
      </x:c>
      <x:c r="D17" s="18" t="n">
        <x:v>7</x:v>
      </x:c>
      <x:c r="E17" s="18" t="n">
        <x:v>7</x:v>
      </x:c>
      <x:c r="F17" s="18" t="n">
        <x:v>1</x:v>
      </x:c>
      <x:c r="G17" s="19" t="str">
        <x:v>保留基线</x:v>
      </x:c>
      <x:c r="H17" s="19" t="str">
        <x:v>orange_family:finished_entry; apple_family:finished_entry; grape_family:finished_entry</x:v>
      </x:c>
      <x:c r="I17" s="19" t="str">
        <x:v>candidate:system_variables.json</x:v>
      </x:c>
    </x:row>
    <x:row r="18" ht="22.5" customHeight="1">
      <x:c r="A18" s="17" t="n">
        <x:v>12</x:v>
      </x:c>
      <x:c r="B18" s="15" t="str">
        <x:v>orange family finished work</x:v>
      </x:c>
      <x:c r="C18" s="17" t="n">
        <x:v>10</x:v>
      </x:c>
      <x:c r="D18" s="17" t="n">
        <x:v>7</x:v>
      </x:c>
      <x:c r="E18" s="17" t="n">
        <x:v>7</x:v>
      </x:c>
      <x:c r="F18" s="17" t="n">
        <x:v>2</x:v>
      </x:c>
      <x:c r="G18" s="15" t="str">
        <x:v>保留基线</x:v>
      </x:c>
      <x:c r="H18" s="15" t="str">
        <x:v>orange_family:finished_work; apple_family:finished_work; grape_family:finished_work</x:v>
      </x:c>
      <x:c r="I18" s="15" t="str">
        <x:v>candidate:system_variables.json</x:v>
      </x:c>
    </x:row>
    <x:row r="19" ht="22.5" customHeight="1">
      <x:c r="A19" s="18" t="n">
        <x:v>13</x:v>
      </x:c>
      <x:c r="B19" s="19" t="str">
        <x:v>orange can empty entry</x:v>
      </x:c>
      <x:c r="C19" s="18" t="n">
        <x:v>2</x:v>
      </x:c>
      <x:c r="D19" s="18" t="n">
        <x:v>2</x:v>
      </x:c>
      <x:c r="E19" s="18" t="n">
        <x:v>2</x:v>
      </x:c>
      <x:c r="F19" s="18" t="n">
        <x:v>1</x:v>
      </x:c>
      <x:c r="G19" s="19" t="str">
        <x:v>保留基线</x:v>
      </x:c>
      <x:c r="H19" s="19" t="str">
        <x:v>orange_can:empty_entry; apple_can:empty_entry; grape_can:empty_entry</x:v>
      </x:c>
      <x:c r="I19" s="19" t="str">
        <x:v>candidate:system_variables.json</x:v>
      </x:c>
    </x:row>
    <x:row r="20" ht="22.5" customHeight="1">
      <x:c r="A20" s="17" t="n">
        <x:v>14</x:v>
      </x:c>
      <x:c r="B20" s="15" t="str">
        <x:v>orange can empty work</x:v>
      </x:c>
      <x:c r="C20" s="17" t="n">
        <x:v>2</x:v>
      </x:c>
      <x:c r="D20" s="17" t="n">
        <x:v>2</x:v>
      </x:c>
      <x:c r="E20" s="17" t="n">
        <x:v>2</x:v>
      </x:c>
      <x:c r="F20" s="17" t="n">
        <x:v>3</x:v>
      </x:c>
      <x:c r="G20" s="15" t="str">
        <x:v>保留基线</x:v>
      </x:c>
      <x:c r="H20" s="15" t="str">
        <x:v>orange_can:empty_work; apple_can:empty_work; grape_can:empty_work</x:v>
      </x:c>
      <x:c r="I20" s="15" t="str">
        <x:v>candidate:system_variables.json</x:v>
      </x:c>
    </x:row>
    <x:row r="21" ht="22.5" customHeight="1">
      <x:c r="A21" s="18" t="n">
        <x:v>15</x:v>
      </x:c>
      <x:c r="B21" s="19" t="str">
        <x:v>orange can rinse entry</x:v>
      </x:c>
      <x:c r="C21" s="18" t="n">
        <x:v>13</x:v>
      </x:c>
      <x:c r="D21" s="18" t="n">
        <x:v>2</x:v>
      </x:c>
      <x:c r="E21" s="18" t="n">
        <x:v>2</x:v>
      </x:c>
      <x:c r="F21" s="18" t="n">
        <x:v>1</x:v>
      </x:c>
      <x:c r="G21" s="19" t="str">
        <x:v>保留基线</x:v>
      </x:c>
      <x:c r="H21" s="19" t="str">
        <x:v>orange_can:rinse_entry; apple_can:rinse_entry; grape_can:rinse_entry</x:v>
      </x:c>
      <x:c r="I21" s="19" t="str">
        <x:v>candidate:system_variables.json</x:v>
      </x:c>
    </x:row>
    <x:row r="22" ht="22.5" customHeight="1">
      <x:c r="A22" s="17" t="n">
        <x:v>16</x:v>
      </x:c>
      <x:c r="B22" s="15" t="str">
        <x:v>orange can rinse work</x:v>
      </x:c>
      <x:c r="C22" s="17" t="n">
        <x:v>13</x:v>
      </x:c>
      <x:c r="D22" s="17" t="n">
        <x:v>2</x:v>
      </x:c>
      <x:c r="E22" s="17" t="n">
        <x:v>2</x:v>
      </x:c>
      <x:c r="F22" s="17" t="n">
        <x:v>3</x:v>
      </x:c>
      <x:c r="G22" s="15" t="str">
        <x:v>保留基线</x:v>
      </x:c>
      <x:c r="H22" s="15" t="str">
        <x:v>orange_can:rinse_work; apple_can:rinse_work; grape_can:rinse_work</x:v>
      </x:c>
      <x:c r="I22" s="15" t="str">
        <x:v>candidate:system_variables.json</x:v>
      </x:c>
    </x:row>
    <x:row r="23" ht="22.5" customHeight="1">
      <x:c r="A23" s="18" t="n">
        <x:v>17</x:v>
      </x:c>
      <x:c r="B23" s="19" t="str">
        <x:v>orange can fill entry</x:v>
      </x:c>
      <x:c r="C23" s="18" t="n">
        <x:v>4</x:v>
      </x:c>
      <x:c r="D23" s="18" t="n">
        <x:v>11</x:v>
      </x:c>
      <x:c r="E23" s="18" t="n">
        <x:v>11</x:v>
      </x:c>
      <x:c r="F23" s="18" t="n">
        <x:v>1</x:v>
      </x:c>
      <x:c r="G23" s="19" t="str">
        <x:v>保留基线</x:v>
      </x:c>
      <x:c r="H23" s="19" t="str">
        <x:v>orange_can:fill_entry</x:v>
      </x:c>
      <x:c r="I23" s="19" t="str">
        <x:v>candidate:system_variables.json</x:v>
      </x:c>
    </x:row>
    <x:row r="24" ht="22.5" customHeight="1">
      <x:c r="A24" s="17" t="n">
        <x:v>18</x:v>
      </x:c>
      <x:c r="B24" s="15" t="str">
        <x:v>orange can fill work</x:v>
      </x:c>
      <x:c r="C24" s="17" t="n">
        <x:v>4</x:v>
      </x:c>
      <x:c r="D24" s="17" t="n">
        <x:v>11</x:v>
      </x:c>
      <x:c r="E24" s="17" t="n">
        <x:v>11</x:v>
      </x:c>
      <x:c r="F24" s="17" t="n">
        <x:v>3</x:v>
      </x:c>
      <x:c r="G24" s="15" t="str">
        <x:v>保留基线</x:v>
      </x:c>
      <x:c r="H24" s="15" t="str">
        <x:v>orange_can:fill_work</x:v>
      </x:c>
      <x:c r="I24" s="15" t="str">
        <x:v>candidate:system_variables.json</x:v>
      </x:c>
    </x:row>
    <x:row r="25" ht="22.5" customHeight="1">
      <x:c r="A25" s="18" t="n">
        <x:v>19</x:v>
      </x:c>
      <x:c r="B25" s="19" t="str">
        <x:v>orange can closure entry</x:v>
      </x:c>
      <x:c r="C25" s="18" t="n">
        <x:v>8</x:v>
      </x:c>
      <x:c r="D25" s="18" t="n">
        <x:v>5</x:v>
      </x:c>
      <x:c r="E25" s="18" t="n">
        <x:v>5</x:v>
      </x:c>
      <x:c r="F25" s="18" t="n">
        <x:v>1</x:v>
      </x:c>
      <x:c r="G25" s="19" t="str">
        <x:v>保留基线</x:v>
      </x:c>
      <x:c r="H25" s="19" t="str">
        <x:v>orange_can:closure_entry; apple_can:closure_entry; grape_can:closure_entry</x:v>
      </x:c>
      <x:c r="I25" s="19" t="str">
        <x:v>candidate:system_variables.json</x:v>
      </x:c>
    </x:row>
    <x:row r="26" ht="22.5" customHeight="1">
      <x:c r="A26" s="17" t="n">
        <x:v>20</x:v>
      </x:c>
      <x:c r="B26" s="15" t="str">
        <x:v>orange can closure work</x:v>
      </x:c>
      <x:c r="C26" s="17" t="n">
        <x:v>8</x:v>
      </x:c>
      <x:c r="D26" s="17" t="n">
        <x:v>5</x:v>
      </x:c>
      <x:c r="E26" s="17" t="n">
        <x:v>5</x:v>
      </x:c>
      <x:c r="F26" s="17" t="n">
        <x:v>3</x:v>
      </x:c>
      <x:c r="G26" s="15" t="str">
        <x:v>保留基线</x:v>
      </x:c>
      <x:c r="H26" s="15" t="str">
        <x:v>orange_can:closure_work; apple_can:closure_work; grape_can:closure_work</x:v>
      </x:c>
      <x:c r="I26" s="15" t="str">
        <x:v>candidate:system_variables.json</x:v>
      </x:c>
    </x:row>
    <x:row r="27" ht="22.5" customHeight="1">
      <x:c r="A27" s="18" t="n">
        <x:v>21</x:v>
      </x:c>
      <x:c r="B27" s="19" t="str">
        <x:v>orange can code entry</x:v>
      </x:c>
      <x:c r="C27" s="18" t="n">
        <x:v>14</x:v>
      </x:c>
      <x:c r="D27" s="18" t="n">
        <x:v>2</x:v>
      </x:c>
      <x:c r="E27" s="18" t="n">
        <x:v>2</x:v>
      </x:c>
      <x:c r="F27" s="18" t="n">
        <x:v>1</x:v>
      </x:c>
      <x:c r="G27" s="19" t="str">
        <x:v>保留基线</x:v>
      </x:c>
      <x:c r="H27" s="19" t="str">
        <x:v>orange_can:code_entry; apple_can:code_entry; grape_can:code_entry</x:v>
      </x:c>
      <x:c r="I27" s="19" t="str">
        <x:v>candidate:system_variables.json</x:v>
      </x:c>
    </x:row>
    <x:row r="28" ht="22.5" customHeight="1">
      <x:c r="A28" s="17" t="n">
        <x:v>22</x:v>
      </x:c>
      <x:c r="B28" s="15" t="str">
        <x:v>orange can code work</x:v>
      </x:c>
      <x:c r="C28" s="17" t="n">
        <x:v>14</x:v>
      </x:c>
      <x:c r="D28" s="17" t="n">
        <x:v>2</x:v>
      </x:c>
      <x:c r="E28" s="17" t="n">
        <x:v>2</x:v>
      </x:c>
      <x:c r="F28" s="17" t="n">
        <x:v>3</x:v>
      </x:c>
      <x:c r="G28" s="15" t="str">
        <x:v>保留基线</x:v>
      </x:c>
      <x:c r="H28" s="15" t="str">
        <x:v>orange_can:code_work; apple_can:code_work; grape_can:code_work</x:v>
      </x:c>
      <x:c r="I28" s="15" t="str">
        <x:v>candidate:system_variables.json</x:v>
      </x:c>
    </x:row>
    <x:row r="29" ht="22.5" customHeight="1">
      <x:c r="A29" s="18" t="n">
        <x:v>23</x:v>
      </x:c>
      <x:c r="B29" s="19" t="str">
        <x:v>orange can finished entry</x:v>
      </x:c>
      <x:c r="C29" s="18" t="n">
        <x:v>11</x:v>
      </x:c>
      <x:c r="D29" s="18" t="n">
        <x:v>8</x:v>
      </x:c>
      <x:c r="E29" s="18" t="n">
        <x:v>8</x:v>
      </x:c>
      <x:c r="F29" s="18" t="n">
        <x:v>1</x:v>
      </x:c>
      <x:c r="G29" s="19" t="str">
        <x:v>保留基线</x:v>
      </x:c>
      <x:c r="H29" s="19" t="str">
        <x:v>orange_can:finished_entry; apple_can:finished_entry; grape_can:finished_entry</x:v>
      </x:c>
      <x:c r="I29" s="19" t="str">
        <x:v>candidate:system_variables.json</x:v>
      </x:c>
    </x:row>
    <x:row r="30" ht="22.5" customHeight="1">
      <x:c r="A30" s="17" t="n">
        <x:v>24</x:v>
      </x:c>
      <x:c r="B30" s="15" t="str">
        <x:v>orange can finished work</x:v>
      </x:c>
      <x:c r="C30" s="17" t="n">
        <x:v>11</x:v>
      </x:c>
      <x:c r="D30" s="17" t="n">
        <x:v>8</x:v>
      </x:c>
      <x:c r="E30" s="17" t="n">
        <x:v>8</x:v>
      </x:c>
      <x:c r="F30" s="17" t="n">
        <x:v>3</x:v>
      </x:c>
      <x:c r="G30" s="15" t="str">
        <x:v>保留基线</x:v>
      </x:c>
      <x:c r="H30" s="15" t="str">
        <x:v>orange_can:finished_work; apple_can:finished_work; grape_can:finished_work</x:v>
      </x:c>
      <x:c r="I30" s="15" t="str">
        <x:v>candidate:system_variables.json</x:v>
      </x:c>
    </x:row>
    <x:row r="31" ht="22.5" customHeight="1">
      <x:c r="A31" s="18" t="n">
        <x:v>25</x:v>
      </x:c>
      <x:c r="B31" s="19" t="str">
        <x:v>apple family fill entry</x:v>
      </x:c>
      <x:c r="C31" s="18" t="n">
        <x:v>5</x:v>
      </x:c>
      <x:c r="D31" s="18" t="n">
        <x:v>10</x:v>
      </x:c>
      <x:c r="E31" s="18" t="n">
        <x:v>10</x:v>
      </x:c>
      <x:c r="F31" s="18" t="n">
        <x:v>1</x:v>
      </x:c>
      <x:c r="G31" s="19" t="str">
        <x:v>保留基线</x:v>
      </x:c>
      <x:c r="H31" s="19" t="str">
        <x:v>apple_family:fill_entry</x:v>
      </x:c>
      <x:c r="I31" s="19" t="str">
        <x:v>candidate:system_variables.json</x:v>
      </x:c>
    </x:row>
    <x:row r="32" ht="22.5" customHeight="1">
      <x:c r="A32" s="17" t="n">
        <x:v>26</x:v>
      </x:c>
      <x:c r="B32" s="15" t="str">
        <x:v>apple family fill work</x:v>
      </x:c>
      <x:c r="C32" s="17" t="n">
        <x:v>5</x:v>
      </x:c>
      <x:c r="D32" s="17" t="n">
        <x:v>10</x:v>
      </x:c>
      <x:c r="E32" s="17" t="n">
        <x:v>10</x:v>
      </x:c>
      <x:c r="F32" s="17" t="n">
        <x:v>2</x:v>
      </x:c>
      <x:c r="G32" s="15" t="str">
        <x:v>保留基线</x:v>
      </x:c>
      <x:c r="H32" s="15" t="str">
        <x:v>apple_family:fill_work</x:v>
      </x:c>
      <x:c r="I32" s="15" t="str">
        <x:v>candidate:system_variables.json</x:v>
      </x:c>
    </x:row>
    <x:row r="33" ht="22.5" customHeight="1">
      <x:c r="A33" s="18" t="n">
        <x:v>27</x:v>
      </x:c>
      <x:c r="B33" s="19" t="str">
        <x:v>apple can fill entry</x:v>
      </x:c>
      <x:c r="C33" s="18" t="n">
        <x:v>5</x:v>
      </x:c>
      <x:c r="D33" s="18" t="n">
        <x:v>11</x:v>
      </x:c>
      <x:c r="E33" s="18" t="n">
        <x:v>11</x:v>
      </x:c>
      <x:c r="F33" s="18" t="n">
        <x:v>1</x:v>
      </x:c>
      <x:c r="G33" s="19" t="str">
        <x:v>保留基线</x:v>
      </x:c>
      <x:c r="H33" s="19" t="str">
        <x:v>apple_can:fill_entry</x:v>
      </x:c>
      <x:c r="I33" s="19" t="str">
        <x:v>candidate:system_variables.json</x:v>
      </x:c>
    </x:row>
    <x:row r="34" ht="22.5" customHeight="1">
      <x:c r="A34" s="17" t="n">
        <x:v>28</x:v>
      </x:c>
      <x:c r="B34" s="15" t="str">
        <x:v>apple can fill work</x:v>
      </x:c>
      <x:c r="C34" s="17" t="n">
        <x:v>5</x:v>
      </x:c>
      <x:c r="D34" s="17" t="n">
        <x:v>11</x:v>
      </x:c>
      <x:c r="E34" s="17" t="n">
        <x:v>11</x:v>
      </x:c>
      <x:c r="F34" s="17" t="n">
        <x:v>3</x:v>
      </x:c>
      <x:c r="G34" s="15" t="str">
        <x:v>保留基线</x:v>
      </x:c>
      <x:c r="H34" s="15" t="str">
        <x:v>apple_can:fill_work</x:v>
      </x:c>
      <x:c r="I34" s="15" t="str">
        <x:v>candidate:system_variables.json</x:v>
      </x:c>
    </x:row>
    <x:row r="35" ht="22.5" customHeight="1">
      <x:c r="A35" s="18" t="n">
        <x:v>29</x:v>
      </x:c>
      <x:c r="B35" s="19" t="str">
        <x:v>grape family fill entry</x:v>
      </x:c>
      <x:c r="C35" s="18" t="n">
        <x:v>6</x:v>
      </x:c>
      <x:c r="D35" s="18" t="n">
        <x:v>10</x:v>
      </x:c>
      <x:c r="E35" s="18" t="n">
        <x:v>10</x:v>
      </x:c>
      <x:c r="F35" s="18" t="n">
        <x:v>1</x:v>
      </x:c>
      <x:c r="G35" s="19" t="str">
        <x:v>保留基线</x:v>
      </x:c>
      <x:c r="H35" s="19" t="str">
        <x:v>grape_family:fill_entry</x:v>
      </x:c>
      <x:c r="I35" s="19" t="str">
        <x:v>candidate:system_variables.json</x:v>
      </x:c>
    </x:row>
    <x:row r="36" ht="22.5" customHeight="1">
      <x:c r="A36" s="17" t="n">
        <x:v>30</x:v>
      </x:c>
      <x:c r="B36" s="15" t="str">
        <x:v>grape family fill work</x:v>
      </x:c>
      <x:c r="C36" s="17" t="n">
        <x:v>6</x:v>
      </x:c>
      <x:c r="D36" s="17" t="n">
        <x:v>10</x:v>
      </x:c>
      <x:c r="E36" s="17" t="n">
        <x:v>10</x:v>
      </x:c>
      <x:c r="F36" s="17" t="n">
        <x:v>2</x:v>
      </x:c>
      <x:c r="G36" s="15" t="str">
        <x:v>保留基线</x:v>
      </x:c>
      <x:c r="H36" s="15" t="str">
        <x:v>grape_family:fill_work</x:v>
      </x:c>
      <x:c r="I36" s="15" t="str">
        <x:v>candidate:system_variables.json</x:v>
      </x:c>
    </x:row>
    <x:row r="37" ht="22.5" customHeight="1">
      <x:c r="A37" s="18" t="n">
        <x:v>31</x:v>
      </x:c>
      <x:c r="B37" s="19" t="str">
        <x:v>grape can fill entry</x:v>
      </x:c>
      <x:c r="C37" s="18" t="n">
        <x:v>6</x:v>
      </x:c>
      <x:c r="D37" s="18" t="n">
        <x:v>11</x:v>
      </x:c>
      <x:c r="E37" s="18" t="n">
        <x:v>11</x:v>
      </x:c>
      <x:c r="F37" s="18" t="n">
        <x:v>1</x:v>
      </x:c>
      <x:c r="G37" s="19" t="str">
        <x:v>保留基线</x:v>
      </x:c>
      <x:c r="H37" s="19" t="str">
        <x:v>grape_can:fill_entry</x:v>
      </x:c>
      <x:c r="I37" s="19" t="str">
        <x:v>candidate:system_variables.json</x:v>
      </x:c>
    </x:row>
    <x:row r="38" ht="22.5" customHeight="1">
      <x:c r="A38" s="17" t="n">
        <x:v>32</x:v>
      </x:c>
      <x:c r="B38" s="15" t="str">
        <x:v>grape can fill work</x:v>
      </x:c>
      <x:c r="C38" s="17" t="n">
        <x:v>6</x:v>
      </x:c>
      <x:c r="D38" s="17" t="n">
        <x:v>11</x:v>
      </x:c>
      <x:c r="E38" s="17" t="n">
        <x:v>11</x:v>
      </x:c>
      <x:c r="F38" s="17" t="n">
        <x:v>3</x:v>
      </x:c>
      <x:c r="G38" s="15" t="str">
        <x:v>保留基线</x:v>
      </x:c>
      <x:c r="H38" s="15" t="str">
        <x:v>grape_can:fill_work</x:v>
      </x:c>
      <x:c r="I38" s="15" t="str">
        <x:v>candidate:system_variables.json</x:v>
      </x:c>
    </x:row>
    <x:row r="39" ht="22.5" customHeight="1">
      <x:c r="A39" s="18" t="n">
        <x:v>33</x:v>
      </x:c>
      <x:c r="B39" s="19" t="str">
        <x:v>small empty entry</x:v>
      </x:c>
      <x:c r="C39" s="18" t="n">
        <x:v>3</x:v>
      </x:c>
      <x:c r="D39" s="18" t="n">
        <x:v>3</x:v>
      </x:c>
      <x:c r="E39" s="18" t="n">
        <x:v>3</x:v>
      </x:c>
      <x:c r="F39" s="18" t="n">
        <x:v>1</x:v>
      </x:c>
      <x:c r="G39" s="19" t="str">
        <x:v>新增250mL</x:v>
      </x:c>
      <x:c r="H39" s="19" t="str">
        <x:v>orange_small:empty_entry; apple_small:empty_entry; grape_small:empty_entry</x:v>
      </x:c>
      <x:c r="I39" s="19" t="str">
        <x:v>candidate:system_variables.json</x:v>
      </x:c>
    </x:row>
    <x:row r="40" ht="22.5" customHeight="1">
      <x:c r="A40" s="17" t="n">
        <x:v>34</x:v>
      </x:c>
      <x:c r="B40" s="15" t="str">
        <x:v>small empty work</x:v>
      </x:c>
      <x:c r="C40" s="17" t="n">
        <x:v>3</x:v>
      </x:c>
      <x:c r="D40" s="17" t="n">
        <x:v>3</x:v>
      </x:c>
      <x:c r="E40" s="17" t="n">
        <x:v>3</x:v>
      </x:c>
      <x:c r="F40" s="17" t="n">
        <x:v>4</x:v>
      </x:c>
      <x:c r="G40" s="15" t="str">
        <x:v>新增250mL</x:v>
      </x:c>
      <x:c r="H40" s="15" t="str">
        <x:v>orange_small:empty_work; apple_small:empty_work; grape_small:empty_work</x:v>
      </x:c>
      <x:c r="I40" s="15" t="str">
        <x:v>candidate:system_variables.json</x:v>
      </x:c>
    </x:row>
    <x:row r="41" ht="22.5" customHeight="1">
      <x:c r="A41" s="18" t="n">
        <x:v>35</x:v>
      </x:c>
      <x:c r="B41" s="19" t="str">
        <x:v>small rinse entry</x:v>
      </x:c>
      <x:c r="C41" s="18" t="n">
        <x:v>13</x:v>
      </x:c>
      <x:c r="D41" s="18" t="n">
        <x:v>3</x:v>
      </x:c>
      <x:c r="E41" s="18" t="n">
        <x:v>3</x:v>
      </x:c>
      <x:c r="F41" s="18" t="n">
        <x:v>1</x:v>
      </x:c>
      <x:c r="G41" s="19" t="str">
        <x:v>新增250mL</x:v>
      </x:c>
      <x:c r="H41" s="19" t="str">
        <x:v>orange_small:rinse_entry; apple_small:rinse_entry; grape_small:rinse_entry</x:v>
      </x:c>
      <x:c r="I41" s="19" t="str">
        <x:v>candidate:system_variables.json</x:v>
      </x:c>
    </x:row>
    <x:row r="42" ht="22.5" customHeight="1">
      <x:c r="A42" s="17" t="n">
        <x:v>36</x:v>
      </x:c>
      <x:c r="B42" s="15" t="str">
        <x:v>small rinse work</x:v>
      </x:c>
      <x:c r="C42" s="17" t="n">
        <x:v>13</x:v>
      </x:c>
      <x:c r="D42" s="17" t="n">
        <x:v>3</x:v>
      </x:c>
      <x:c r="E42" s="17" t="n">
        <x:v>3</x:v>
      </x:c>
      <x:c r="F42" s="17" t="n">
        <x:v>4</x:v>
      </x:c>
      <x:c r="G42" s="15" t="str">
        <x:v>新增250mL</x:v>
      </x:c>
      <x:c r="H42" s="15" t="str">
        <x:v>orange_small:rinse_work; apple_small:rinse_work; grape_small:rinse_work</x:v>
      </x:c>
      <x:c r="I42" s="15" t="str">
        <x:v>candidate:system_variables.json</x:v>
      </x:c>
    </x:row>
    <x:row r="43" ht="22.5" customHeight="1">
      <x:c r="A43" s="18" t="n">
        <x:v>37</x:v>
      </x:c>
      <x:c r="B43" s="19" t="str">
        <x:v>orange small fill entry</x:v>
      </x:c>
      <x:c r="C43" s="18" t="n">
        <x:v>4</x:v>
      </x:c>
      <x:c r="D43" s="18" t="n">
        <x:v>12</x:v>
      </x:c>
      <x:c r="E43" s="18" t="n">
        <x:v>12</x:v>
      </x:c>
      <x:c r="F43" s="18" t="n">
        <x:v>1</x:v>
      </x:c>
      <x:c r="G43" s="19" t="str">
        <x:v>新增250mL</x:v>
      </x:c>
      <x:c r="H43" s="19" t="str">
        <x:v>orange_small:fill_entry</x:v>
      </x:c>
      <x:c r="I43" s="19" t="str">
        <x:v>candidate:system_variables.json</x:v>
      </x:c>
    </x:row>
    <x:row r="44" ht="22.5" customHeight="1">
      <x:c r="A44" s="17" t="n">
        <x:v>38</x:v>
      </x:c>
      <x:c r="B44" s="15" t="str">
        <x:v>orange small fill work</x:v>
      </x:c>
      <x:c r="C44" s="17" t="n">
        <x:v>4</x:v>
      </x:c>
      <x:c r="D44" s="17" t="n">
        <x:v>12</x:v>
      </x:c>
      <x:c r="E44" s="17" t="n">
        <x:v>12</x:v>
      </x:c>
      <x:c r="F44" s="17" t="n">
        <x:v>4</x:v>
      </x:c>
      <x:c r="G44" s="15" t="str">
        <x:v>新增250mL</x:v>
      </x:c>
      <x:c r="H44" s="15" t="str">
        <x:v>orange_small:fill_work</x:v>
      </x:c>
      <x:c r="I44" s="15" t="str">
        <x:v>candidate:system_variables.json</x:v>
      </x:c>
    </x:row>
    <x:row r="45" ht="22.5" customHeight="1">
      <x:c r="A45" s="18" t="n">
        <x:v>39</x:v>
      </x:c>
      <x:c r="B45" s="19" t="str">
        <x:v>small closure entry</x:v>
      </x:c>
      <x:c r="C45" s="18" t="n">
        <x:v>9</x:v>
      </x:c>
      <x:c r="D45" s="18" t="n">
        <x:v>6</x:v>
      </x:c>
      <x:c r="E45" s="18" t="n">
        <x:v>6</x:v>
      </x:c>
      <x:c r="F45" s="18" t="n">
        <x:v>1</x:v>
      </x:c>
      <x:c r="G45" s="19" t="str">
        <x:v>新增250mL</x:v>
      </x:c>
      <x:c r="H45" s="19" t="str">
        <x:v>orange_small:closure_entry; apple_small:closure_entry; grape_small:closure_entry</x:v>
      </x:c>
      <x:c r="I45" s="19" t="str">
        <x:v>candidate:system_variables.json</x:v>
      </x:c>
    </x:row>
    <x:row r="46" ht="22.5" customHeight="1">
      <x:c r="A46" s="17" t="n">
        <x:v>40</x:v>
      </x:c>
      <x:c r="B46" s="15" t="str">
        <x:v>small closure work</x:v>
      </x:c>
      <x:c r="C46" s="17" t="n">
        <x:v>9</x:v>
      </x:c>
      <x:c r="D46" s="17" t="n">
        <x:v>6</x:v>
      </x:c>
      <x:c r="E46" s="17" t="n">
        <x:v>6</x:v>
      </x:c>
      <x:c r="F46" s="17" t="n">
        <x:v>4</x:v>
      </x:c>
      <x:c r="G46" s="15" t="str">
        <x:v>新增250mL</x:v>
      </x:c>
      <x:c r="H46" s="15" t="str">
        <x:v>orange_small:closure_work; apple_small:closure_work; grape_small:closure_work</x:v>
      </x:c>
      <x:c r="I46" s="15" t="str">
        <x:v>candidate:system_variables.json</x:v>
      </x:c>
    </x:row>
    <x:row r="47" ht="22.5" customHeight="1">
      <x:c r="A47" s="18" t="n">
        <x:v>41</x:v>
      </x:c>
      <x:c r="B47" s="19" t="str">
        <x:v>small code entry</x:v>
      </x:c>
      <x:c r="C47" s="18" t="n">
        <x:v>14</x:v>
      </x:c>
      <x:c r="D47" s="18" t="n">
        <x:v>3</x:v>
      </x:c>
      <x:c r="E47" s="18" t="n">
        <x:v>3</x:v>
      </x:c>
      <x:c r="F47" s="18" t="n">
        <x:v>1</x:v>
      </x:c>
      <x:c r="G47" s="19" t="str">
        <x:v>新增250mL</x:v>
      </x:c>
      <x:c r="H47" s="19" t="str">
        <x:v>orange_small:code_entry; apple_small:code_entry; grape_small:code_entry</x:v>
      </x:c>
      <x:c r="I47" s="19" t="str">
        <x:v>candidate:system_variables.json</x:v>
      </x:c>
    </x:row>
    <x:row r="48" ht="22.5" customHeight="1">
      <x:c r="A48" s="17" t="n">
        <x:v>42</x:v>
      </x:c>
      <x:c r="B48" s="15" t="str">
        <x:v>small code work</x:v>
      </x:c>
      <x:c r="C48" s="17" t="n">
        <x:v>14</x:v>
      </x:c>
      <x:c r="D48" s="17" t="n">
        <x:v>3</x:v>
      </x:c>
      <x:c r="E48" s="17" t="n">
        <x:v>3</x:v>
      </x:c>
      <x:c r="F48" s="17" t="n">
        <x:v>4</x:v>
      </x:c>
      <x:c r="G48" s="15" t="str">
        <x:v>新增250mL</x:v>
      </x:c>
      <x:c r="H48" s="15" t="str">
        <x:v>orange_small:code_work; apple_small:code_work; grape_small:code_work</x:v>
      </x:c>
      <x:c r="I48" s="15" t="str">
        <x:v>candidate:system_variables.json</x:v>
      </x:c>
    </x:row>
    <x:row r="49" ht="22.5" customHeight="1">
      <x:c r="A49" s="18" t="n">
        <x:v>43</x:v>
      </x:c>
      <x:c r="B49" s="19" t="str">
        <x:v>small finished entry</x:v>
      </x:c>
      <x:c r="C49" s="18" t="n">
        <x:v>12</x:v>
      </x:c>
      <x:c r="D49" s="18" t="n">
        <x:v>9</x:v>
      </x:c>
      <x:c r="E49" s="18" t="n">
        <x:v>9</x:v>
      </x:c>
      <x:c r="F49" s="18" t="n">
        <x:v>1</x:v>
      </x:c>
      <x:c r="G49" s="19" t="str">
        <x:v>新增250mL</x:v>
      </x:c>
      <x:c r="H49" s="19" t="str">
        <x:v>orange_small:finished_entry; apple_small:finished_entry; grape_small:finished_entry</x:v>
      </x:c>
      <x:c r="I49" s="19" t="str">
        <x:v>candidate:system_variables.json</x:v>
      </x:c>
    </x:row>
    <x:row r="50" ht="22.5" customHeight="1">
      <x:c r="A50" s="17" t="n">
        <x:v>44</x:v>
      </x:c>
      <x:c r="B50" s="15" t="str">
        <x:v>small finished work</x:v>
      </x:c>
      <x:c r="C50" s="17" t="n">
        <x:v>12</x:v>
      </x:c>
      <x:c r="D50" s="17" t="n">
        <x:v>9</x:v>
      </x:c>
      <x:c r="E50" s="17" t="n">
        <x:v>9</x:v>
      </x:c>
      <x:c r="F50" s="17" t="n">
        <x:v>4</x:v>
      </x:c>
      <x:c r="G50" s="15" t="str">
        <x:v>新增250mL</x:v>
      </x:c>
      <x:c r="H50" s="15" t="str">
        <x:v>orange_small:finished_work; apple_small:finished_work; grape_small:finished_work</x:v>
      </x:c>
      <x:c r="I50" s="15" t="str">
        <x:v>candidate:system_variables.json</x:v>
      </x:c>
    </x:row>
    <x:row r="51" ht="22.5" customHeight="1">
      <x:c r="A51" s="18" t="n">
        <x:v>45</x:v>
      </x:c>
      <x:c r="B51" s="19" t="str">
        <x:v>apple small fill entry</x:v>
      </x:c>
      <x:c r="C51" s="18" t="n">
        <x:v>5</x:v>
      </x:c>
      <x:c r="D51" s="18" t="n">
        <x:v>12</x:v>
      </x:c>
      <x:c r="E51" s="18" t="n">
        <x:v>12</x:v>
      </x:c>
      <x:c r="F51" s="18" t="n">
        <x:v>1</x:v>
      </x:c>
      <x:c r="G51" s="19" t="str">
        <x:v>新增250mL</x:v>
      </x:c>
      <x:c r="H51" s="19" t="str">
        <x:v>apple_small:fill_entry</x:v>
      </x:c>
      <x:c r="I51" s="19" t="str">
        <x:v>candidate:system_variables.json</x:v>
      </x:c>
    </x:row>
    <x:row r="52" ht="22.5" customHeight="1">
      <x:c r="A52" s="17" t="n">
        <x:v>46</x:v>
      </x:c>
      <x:c r="B52" s="15" t="str">
        <x:v>apple small fill work</x:v>
      </x:c>
      <x:c r="C52" s="17" t="n">
        <x:v>5</x:v>
      </x:c>
      <x:c r="D52" s="17" t="n">
        <x:v>12</x:v>
      </x:c>
      <x:c r="E52" s="17" t="n">
        <x:v>12</x:v>
      </x:c>
      <x:c r="F52" s="17" t="n">
        <x:v>4</x:v>
      </x:c>
      <x:c r="G52" s="15" t="str">
        <x:v>新增250mL</x:v>
      </x:c>
      <x:c r="H52" s="15" t="str">
        <x:v>apple_small:fill_work</x:v>
      </x:c>
      <x:c r="I52" s="15" t="str">
        <x:v>candidate:system_variables.json</x:v>
      </x:c>
    </x:row>
    <x:row r="53" ht="22.5" customHeight="1">
      <x:c r="A53" s="18" t="n">
        <x:v>47</x:v>
      </x:c>
      <x:c r="B53" s="19" t="str">
        <x:v>grape small fill entry</x:v>
      </x:c>
      <x:c r="C53" s="18" t="n">
        <x:v>6</x:v>
      </x:c>
      <x:c r="D53" s="18" t="n">
        <x:v>12</x:v>
      </x:c>
      <x:c r="E53" s="18" t="n">
        <x:v>12</x:v>
      </x:c>
      <x:c r="F53" s="18" t="n">
        <x:v>1</x:v>
      </x:c>
      <x:c r="G53" s="19" t="str">
        <x:v>新增250mL</x:v>
      </x:c>
      <x:c r="H53" s="19" t="str">
        <x:v>grape_small:fill_entry</x:v>
      </x:c>
      <x:c r="I53" s="19" t="str">
        <x:v>candidate:system_variables.json</x:v>
      </x:c>
    </x:row>
    <x:row r="54" ht="22.5" customHeight="1">
      <x:c r="A54" s="17" t="n">
        <x:v>48</x:v>
      </x:c>
      <x:c r="B54" s="15" t="str">
        <x:v>grape small fill work</x:v>
      </x:c>
      <x:c r="C54" s="17" t="n">
        <x:v>6</x:v>
      </x:c>
      <x:c r="D54" s="17" t="n">
        <x:v>12</x:v>
      </x:c>
      <x:c r="E54" s="17" t="n">
        <x:v>12</x:v>
      </x:c>
      <x:c r="F54" s="17" t="n">
        <x:v>4</x:v>
      </x:c>
      <x:c r="G54" s="15" t="str">
        <x:v>新增250mL</x:v>
      </x:c>
      <x:c r="H54" s="15" t="str">
        <x:v>grape_small:fill_work</x:v>
      </x:c>
      <x:c r="I54" s="15" t="str">
        <x:v>candidate:system_variables.json</x:v>
      </x:c>
    </x:row>
  </x:sheetData>
  <x:pageMargins left="0.7" right="0.7" top="0.75" bottom="0.75" header="0.3" footer="0.3"/>
  <x:tableParts count="1">
    <x:tablePart xmlns:r="http://schemas.openxmlformats.org/officeDocument/2006/relationships" r:id="R321801400130420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0" hidden="0" customWidth="1"/>
    <x:col min="2" max="2" width="73.75" hidden="0" customWidth="1"/>
    <x:col min="3" max="3" width="18.75" hidden="0" customWidth="1"/>
    <x:col min="4" max="4" width="11.25" hidden="0" customWidth="1"/>
    <x:col min="5" max="5" width="43.75" hidden="0" customWidth="1"/>
    <x:col min="6" max="6" width="40" hidden="0" customWidth="1"/>
  </x:cols>
  <x:sheetData>
    <x:row r="1" ht="21" customHeight="1">
      <x:c r="A1" s="2"/>
      <x:c r="B1" s="2"/>
      <x:c r="C1" s="2"/>
      <x:c r="D1" s="2"/>
      <x:c r="E1" s="2"/>
      <x:c r="F1" s="2"/>
    </x:row>
    <x:row r="2" ht="25.5" customHeight="1">
      <x:c r="A2" s="4" t="str">
        <x:v>21个设备的独立端口和站地址</x:v>
      </x:c>
      <x:c r="B2" s="5"/>
      <x:c r="C2" s="5"/>
      <x:c r="D2" s="5"/>
      <x:c r="E2" s="5"/>
      <x:c r="F2" s="5"/>
    </x:row>
    <x:row r="3" ht="21" customHeight="1">
      <x:c r="A3" s="6" t="str">
        <x:v>L1仅含Modbus PDU，不含站地址/CRC。设备标识由L2调用device解析至注册表；SIM_*均为虚拟端口，非可直接生产的端口配置。</x:v>
      </x:c>
      <x:c r="B3" s="2"/>
      <x:c r="C3" s="2"/>
      <x:c r="D3" s="2"/>
      <x:c r="E3" s="2"/>
      <x:c r="F3" s="2"/>
    </x:row>
    <x:row r="4" ht="21" customHeight="1">
      <x:c r="A4" s="2"/>
      <x:c r="B4" s="2"/>
      <x:c r="C4" s="2"/>
      <x:c r="D4" s="2"/>
      <x:c r="E4" s="2"/>
      <x:c r="F4" s="2"/>
    </x:row>
    <x:row r="5" ht="31.5" customHeight="1">
      <x:c r="A5" s="11" t="str">
        <x:v>设备ID</x:v>
      </x:c>
      <x:c r="B5" s="12" t="str">
        <x:v>作用</x:v>
      </x:c>
      <x:c r="C5" s="12" t="str">
        <x:v>端口</x:v>
      </x:c>
      <x:c r="D5" s="12" t="str">
        <x:v>站地址</x:v>
      </x:c>
      <x:c r="E5" s="12" t="str">
        <x:v>协议</x:v>
      </x:c>
      <x:c r="F5" s="13" t="str">
        <x:v>来源</x:v>
      </x:c>
    </x:row>
    <x:row r="6" ht="22.5" customHeight="1">
      <x:c r="A6" s="15" t="str">
        <x:v>X</x:v>
      </x:c>
      <x:c r="B6" s="15" t="str">
        <x:v>X定位电机</x:v>
      </x:c>
      <x:c r="C6" s="15" t="str">
        <x:v>SIM_MOTION</x:v>
      </x:c>
      <x:c r="D6" s="17" t="n">
        <x:v>1</x:v>
      </x:c>
      <x:c r="E6" s="15" t="str">
        <x:v>Modbus PDU；传输层提供地址/CRC</x:v>
      </x:c>
      <x:c r="F6" s="15" t="str">
        <x:v>candidate:device_registry.json</x:v>
      </x:c>
    </x:row>
    <x:row r="7" ht="22.5" customHeight="1">
      <x:c r="A7" s="19" t="str">
        <x:v>Y1</x:v>
      </x:c>
      <x:c r="B7" s="19" t="str">
        <x:v>Y轴第一定位电机</x:v>
      </x:c>
      <x:c r="C7" s="19" t="str">
        <x:v>SIM_MOTION</x:v>
      </x:c>
      <x:c r="D7" s="18" t="n">
        <x:v>2</x:v>
      </x:c>
      <x:c r="E7" s="19" t="str">
        <x:v>Modbus PDU；传输层提供地址/CRC</x:v>
      </x:c>
      <x:c r="F7" s="19" t="str">
        <x:v>candidate:device_registry.json</x:v>
      </x:c>
    </x:row>
    <x:row r="8" ht="22.5" customHeight="1">
      <x:c r="A8" s="15" t="str">
        <x:v>Y2</x:v>
      </x:c>
      <x:c r="B8" s="15" t="str">
        <x:v>Y轴第二定位电机（与Y1同PR号，单独设备）</x:v>
      </x:c>
      <x:c r="C8" s="15" t="str">
        <x:v>SIM_MOTION</x:v>
      </x:c>
      <x:c r="D8" s="17" t="n">
        <x:v>3</x:v>
      </x:c>
      <x:c r="E8" s="15" t="str">
        <x:v>Modbus PDU；传输层提供地址/CRC</x:v>
      </x:c>
      <x:c r="F8" s="15" t="str">
        <x:v>candidate:device_registry.json</x:v>
      </x:c>
    </x:row>
    <x:row r="9" ht="22.5" customHeight="1">
      <x:c r="A9" s="19" t="str">
        <x:v>Z</x:v>
      </x:c>
      <x:c r="B9" s="19" t="str">
        <x:v>Z定位电机</x:v>
      </x:c>
      <x:c r="C9" s="19" t="str">
        <x:v>SIM_MOTION</x:v>
      </x:c>
      <x:c r="D9" s="18" t="n">
        <x:v>4</x:v>
      </x:c>
      <x:c r="E9" s="19" t="str">
        <x:v>Modbus PDU；传输层提供地址/CRC</x:v>
      </x:c>
      <x:c r="F9" s="19" t="str">
        <x:v>candidate:device_registry.json</x:v>
      </x:c>
    </x:row>
    <x:row r="10" ht="22.5" customHeight="1">
      <x:c r="A10" s="15" t="str">
        <x:v>Infeed</x:v>
      </x:c>
      <x:c r="B10" s="15" t="str">
        <x:v>空容器进料电机</x:v>
      </x:c>
      <x:c r="C10" s="15" t="str">
        <x:v>SIM_MOTION</x:v>
      </x:c>
      <x:c r="D10" s="17" t="n">
        <x:v>5</x:v>
      </x:c>
      <x:c r="E10" s="15" t="str">
        <x:v>Modbus PDU；传输层提供地址/CRC</x:v>
      </x:c>
      <x:c r="F10" s="15" t="str">
        <x:v>candidate:device_registry.json</x:v>
      </x:c>
    </x:row>
    <x:row r="11" ht="22.5" customHeight="1">
      <x:c r="A11" s="19" t="str">
        <x:v>Closure</x:v>
      </x:c>
      <x:c r="B11" s="19" t="str">
        <x:v>封口机构电机</x:v>
      </x:c>
      <x:c r="C11" s="19" t="str">
        <x:v>SIM_MOTION</x:v>
      </x:c>
      <x:c r="D11" s="18" t="n">
        <x:v>6</x:v>
      </x:c>
      <x:c r="E11" s="19" t="str">
        <x:v>Modbus PDU；传输层提供地址/CRC</x:v>
      </x:c>
      <x:c r="F11" s="19" t="str">
        <x:v>candidate:device_registry.json</x:v>
      </x:c>
    </x:row>
    <x:row r="12" ht="22.5" customHeight="1">
      <x:c r="A12" s="15" t="str">
        <x:v>Outfeed</x:v>
      </x:c>
      <x:c r="B12" s="15" t="str">
        <x:v>成品出料电机</x:v>
      </x:c>
      <x:c r="C12" s="15" t="str">
        <x:v>SIM_MOTION</x:v>
      </x:c>
      <x:c r="D12" s="17" t="n">
        <x:v>7</x:v>
      </x:c>
      <x:c r="E12" s="15" t="str">
        <x:v>Modbus PDU；传输层提供地址/CRC</x:v>
      </x:c>
      <x:c r="F12" s="15" t="str">
        <x:v>candidate:device_registry.json</x:v>
      </x:c>
    </x:row>
    <x:row r="13" ht="22.5" customHeight="1">
      <x:c r="A13" s="19" t="str">
        <x:v>OrangeFill</x:v>
      </x:c>
      <x:c r="B13" s="19" t="str">
        <x:v>橙汁灌装头</x:v>
      </x:c>
      <x:c r="C13" s="19" t="str">
        <x:v>SIM_PROCESS</x:v>
      </x:c>
      <x:c r="D13" s="18" t="n">
        <x:v>1</x:v>
      </x:c>
      <x:c r="E13" s="19" t="str">
        <x:v>Modbus PDU；传输层提供地址/CRC</x:v>
      </x:c>
      <x:c r="F13" s="19" t="str">
        <x:v>candidate:device_registry.json</x:v>
      </x:c>
    </x:row>
    <x:row r="14" ht="22.5" customHeight="1">
      <x:c r="A14" s="15" t="str">
        <x:v>AppleFill</x:v>
      </x:c>
      <x:c r="B14" s="15" t="str">
        <x:v>苹果汁灌装头</x:v>
      </x:c>
      <x:c r="C14" s="15" t="str">
        <x:v>SIM_PROCESS</x:v>
      </x:c>
      <x:c r="D14" s="17" t="n">
        <x:v>2</x:v>
      </x:c>
      <x:c r="E14" s="15" t="str">
        <x:v>Modbus PDU；传输层提供地址/CRC</x:v>
      </x:c>
      <x:c r="F14" s="15" t="str">
        <x:v>candidate:device_registry.json</x:v>
      </x:c>
    </x:row>
    <x:row r="15" ht="22.5" customHeight="1">
      <x:c r="A15" s="19" t="str">
        <x:v>GrapeFill</x:v>
      </x:c>
      <x:c r="B15" s="19" t="str">
        <x:v>葡萄汁灌装头</x:v>
      </x:c>
      <x:c r="C15" s="19" t="str">
        <x:v>SIM_PROCESS</x:v>
      </x:c>
      <x:c r="D15" s="18" t="n">
        <x:v>3</x:v>
      </x:c>
      <x:c r="E15" s="19" t="str">
        <x:v>Modbus PDU；传输层提供地址/CRC</x:v>
      </x:c>
      <x:c r="F15" s="19" t="str">
        <x:v>candidate:device_registry.json</x:v>
      </x:c>
    </x:row>
    <x:row r="16" ht="22.5" customHeight="1">
      <x:c r="A16" s="15" t="str">
        <x:v>Gripper</x:v>
      </x:c>
      <x:c r="B16" s="15" t="str">
        <x:v>夹瓶器</x:v>
      </x:c>
      <x:c r="C16" s="15" t="str">
        <x:v>SIM_PROCESS</x:v>
      </x:c>
      <x:c r="D16" s="17" t="n">
        <x:v>4</x:v>
      </x:c>
      <x:c r="E16" s="15" t="str">
        <x:v>Modbus PDU；传输层提供地址/CRC</x:v>
      </x:c>
      <x:c r="F16" s="15" t="str">
        <x:v>candidate:device_registry.json</x:v>
      </x:c>
    </x:row>
    <x:row r="17" ht="22.5" customHeight="1">
      <x:c r="A17" s="19" t="str">
        <x:v>CapFeeder</x:v>
      </x:c>
      <x:c r="B17" s="19" t="str">
        <x:v>供盖器</x:v>
      </x:c>
      <x:c r="C17" s="19" t="str">
        <x:v>SIM_PROCESS</x:v>
      </x:c>
      <x:c r="D17" s="18" t="n">
        <x:v>5</x:v>
      </x:c>
      <x:c r="E17" s="19" t="str">
        <x:v>Modbus PDU；传输层提供地址/CRC</x:v>
      </x:c>
      <x:c r="F17" s="19" t="str">
        <x:v>candidate:device_registry.json</x:v>
      </x:c>
    </x:row>
    <x:row r="18" ht="22.5" customHeight="1">
      <x:c r="A18" s="15" t="str">
        <x:v>ContainerSensor</x:v>
      </x:c>
      <x:c r="B18" s="15" t="str">
        <x:v>持瓶状态传感器</x:v>
      </x:c>
      <x:c r="C18" s="15" t="str">
        <x:v>SIM_PROCESS</x:v>
      </x:c>
      <x:c r="D18" s="17" t="n">
        <x:v>6</x:v>
      </x:c>
      <x:c r="E18" s="15" t="str">
        <x:v>Modbus PDU；传输层提供地址/CRC</x:v>
      </x:c>
      <x:c r="F18" s="15" t="str">
        <x:v>candidate:device_registry.json</x:v>
      </x:c>
    </x:row>
    <x:row r="19" ht="22.5" customHeight="1">
      <x:c r="A19" s="19" t="str">
        <x:v>RinseValve</x:v>
      </x:c>
      <x:c r="B19" s="19" t="str">
        <x:v>冲洗阀0x0012</x:v>
      </x:c>
      <x:c r="C19" s="19" t="str">
        <x:v>SIM_PROCESS</x:v>
      </x:c>
      <x:c r="D19" s="18" t="n">
        <x:v>7</x:v>
      </x:c>
      <x:c r="E19" s="19" t="str">
        <x:v>Modbus PDU；传输层提供地址/CRC</x:v>
      </x:c>
      <x:c r="F19" s="19" t="str">
        <x:v>candidate:device_registry.json</x:v>
      </x:c>
    </x:row>
    <x:row r="20" ht="22.5" customHeight="1">
      <x:c r="A20" s="15" t="str">
        <x:v>CIPValve</x:v>
      </x:c>
      <x:c r="B20" s="15" t="str">
        <x:v>消毒/CIP阀0x0013及排水阀0x0014</x:v>
      </x:c>
      <x:c r="C20" s="15" t="str">
        <x:v>SIM_PROCESS</x:v>
      </x:c>
      <x:c r="D20" s="17" t="n">
        <x:v>8</x:v>
      </x:c>
      <x:c r="E20" s="15" t="str">
        <x:v>Modbus PDU；传输层提供地址/CRC</x:v>
      </x:c>
      <x:c r="F20" s="15" t="str">
        <x:v>candidate:device_registry.json</x:v>
      </x:c>
    </x:row>
    <x:row r="21" ht="22.5" customHeight="1">
      <x:c r="A21" s="19" t="str">
        <x:v>Relay</x:v>
      </x:c>
      <x:c r="B21" s="19" t="str">
        <x:v>推瓶0x0008、封口0x000B、喷码0x000C、贴标0x000D、CIP泵0x000E（0x0009/0x000A仅复位）</x:v>
      </x:c>
      <x:c r="C21" s="19" t="str">
        <x:v>SIM_PROCESS</x:v>
      </x:c>
      <x:c r="D21" s="18" t="n">
        <x:v>9</x:v>
      </x:c>
      <x:c r="E21" s="19" t="str">
        <x:v>Modbus PDU；传输层提供地址/CRC</x:v>
      </x:c>
      <x:c r="F21" s="19" t="str">
        <x:v>candidate:device_registry.json</x:v>
      </x:c>
    </x:row>
    <x:row r="22" ht="22.5" customHeight="1">
      <x:c r="A22" s="15" t="str">
        <x:v>BottleSensor</x:v>
      </x:c>
      <x:c r="B22" s="15" t="str">
        <x:v>上料/抓取/瓶位/灌装位置/瓶盖/喷码贴标/出料反馈</x:v>
      </x:c>
      <x:c r="C22" s="15" t="str">
        <x:v>SIM_PROCESS</x:v>
      </x:c>
      <x:c r="D22" s="17" t="n">
        <x:v>10</x:v>
      </x:c>
      <x:c r="E22" s="15" t="str">
        <x:v>Modbus PDU；传输层提供地址/CRC</x:v>
      </x:c>
      <x:c r="F22" s="15" t="str">
        <x:v>candidate:device_registry.json</x:v>
      </x:c>
    </x:row>
    <x:row r="23" ht="22.5" customHeight="1">
      <x:c r="A23" s="19" t="str">
        <x:v>LevelSensor</x:v>
      </x:c>
      <x:c r="B23" s="19" t="str">
        <x:v>四路液位0x0038–0x003B</x:v>
      </x:c>
      <x:c r="C23" s="19" t="str">
        <x:v>SIM_PROCESS</x:v>
      </x:c>
      <x:c r="D23" s="18" t="n">
        <x:v>11</x:v>
      </x:c>
      <x:c r="E23" s="19" t="str">
        <x:v>Modbus PDU；传输层提供地址/CRC</x:v>
      </x:c>
      <x:c r="F23" s="19" t="str">
        <x:v>candidate:device_registry.json</x:v>
      </x:c>
    </x:row>
    <x:row r="24" ht="22.5" customHeight="1">
      <x:c r="A24" s="15" t="str">
        <x:v>PressureSensor</x:v>
      </x:c>
      <x:c r="B24" s="15" t="str">
        <x:v>冲洗/CIP压力0x0010与灌装压力0x0012</x:v>
      </x:c>
      <x:c r="C24" s="15" t="str">
        <x:v>SIM_PROCESS</x:v>
      </x:c>
      <x:c r="D24" s="17" t="n">
        <x:v>12</x:v>
      </x:c>
      <x:c r="E24" s="15" t="str">
        <x:v>Modbus PDU；传输层提供地址/CRC</x:v>
      </x:c>
      <x:c r="F24" s="15" t="str">
        <x:v>candidate:device_registry.json</x:v>
      </x:c>
    </x:row>
    <x:row r="25" ht="22.5" customHeight="1">
      <x:c r="A25" s="19" t="str">
        <x:v>FlowMeter</x:v>
      </x:c>
      <x:c r="B25" s="19" t="str">
        <x:v>0x0001清零、0x0000流量、0x0020累计产量</x:v>
      </x:c>
      <x:c r="C25" s="19" t="str">
        <x:v>SIM_PROCESS</x:v>
      </x:c>
      <x:c r="D25" s="18" t="n">
        <x:v>13</x:v>
      </x:c>
      <x:c r="E25" s="19" t="str">
        <x:v>Modbus PDU；传输层提供地址/CRC</x:v>
      </x:c>
      <x:c r="F25" s="19" t="str">
        <x:v>candidate:device_registry.json</x:v>
      </x:c>
    </x:row>
    <x:row r="26" ht="22.5" customHeight="1">
      <x:c r="A26" s="15" t="str">
        <x:v>Torque</x:v>
      </x:c>
      <x:c r="B26" s="15" t="str">
        <x:v>封口扭矩0x0030</x:v>
      </x:c>
      <x:c r="C26" s="15" t="str">
        <x:v>SIM_PROCESS</x:v>
      </x:c>
      <x:c r="D26" s="17" t="n">
        <x:v>14</x:v>
      </x:c>
      <x:c r="E26" s="15" t="str">
        <x:v>Modbus PDU；传输层提供地址/CRC</x:v>
      </x:c>
      <x:c r="F26" s="15" t="str">
        <x:v>candidate:device_registry.json</x:v>
      </x:c>
    </x:row>
  </x:sheetData>
  <x:pageMargins left="0.7" right="0.7" top="0.75" bottom="0.75" header="0.3" footer="0.3"/>
  <x:tableParts count="1">
    <x:tablePart xmlns:r="http://schemas.openxmlformats.org/officeDocument/2006/relationships" r:id="Rfc6d5e446e4849b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56.25" hidden="0" customWidth="1"/>
    <x:col min="2" max="2" width="25" hidden="0" customWidth="1"/>
    <x:col min="3" max="3" width="46.25" hidden="0" customWidth="1"/>
    <x:col min="4" max="4" width="41.25" hidden="0" customWidth="1"/>
    <x:col min="5" max="5" width="53.75" hidden="0" customWidth="1"/>
    <x:col min="6" max="6" width="41.25" hidden="0" customWidth="1"/>
    <x:col min="7" max="7" width="70" hidden="0" customWidth="1"/>
    <x:col min="8" max="8" width="45" hidden="0" customWidth="1"/>
    <x:col min="9" max="9" width="27.5" hidden="0" customWidth="1"/>
    <x:col min="10" max="10" width="58.75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5.5" customHeight="1">
      <x:c r="A2" s="4" t="str">
        <x:v>56个L1动作及其62个L2状态包装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 ht="21" customHeight="1">
      <x:c r="A3" s="6" t="str">
        <x:v>字段与源码保持一致；L2调用节点的device指定设备。完整on_failure/on_timeout等定义保存在process_spec.json的configuration_documents，不由表格省略字段推断。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1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1.5" customHeight="1">
      <x:c r="A5" s="11" t="str">
        <x:v>L1文件名</x:v>
      </x:c>
      <x:c r="B5" s="12" t="str">
        <x:v>动作类型</x:v>
      </x:c>
      <x:c r="C5" s="12" t="str">
        <x:v>参数定义</x:v>
      </x:c>
      <x:c r="D5" s="12" t="str">
        <x:v>请求PDU</x:v>
      </x:c>
      <x:c r="E5" s="12" t="str">
        <x:v>解码/计算</x:v>
      </x:c>
      <x:c r="F5" s="12" t="str">
        <x:v>预期回显</x:v>
      </x:c>
      <x:c r="G5" s="12" t="str">
        <x:v>使用的L2节点</x:v>
      </x:c>
      <x:c r="H5" s="12" t="str">
        <x:v>L2判断</x:v>
      </x:c>
      <x:c r="I5" s="12" t="str">
        <x:v>L2超时ms</x:v>
      </x:c>
      <x:c r="J5" s="13" t="str">
        <x:v>来源</x:v>
      </x:c>
    </x:row>
    <x:row r="6" ht="34.5" customHeight="1">
      <x:c r="A6" s="15" t="str">
        <x:v>encode_pr_trigger.u16.r_u16_trigger_word</x:v>
      </x:c>
      <x:c r="B6" s="15" t="str">
        <x:v>calculate</x:v>
      </x:c>
      <x:c r="C6" s="15" t="str">
        <x:v>[{"index":0,"name":"point","type":"u16","min":0,"max":15}]</x:v>
      </x:c>
      <x:c r="D6" s="15" t="str"/>
      <x:c r="E6" s="15" t="str">
        <x:v>16 + ${param_0}</x:v>
      </x:c>
      <x:c r="F6" s="15" t="str"/>
      <x:c r="G6" s="15" t="str">
        <x:v>encode_pr_trigger.u16.r_u16_trigger_word</x:v>
      </x:c>
      <x:c r="H6" s="15" t="str">
        <x:v>{}</x:v>
      </x:c>
      <x:c r="I6" s="15" t="str">
        <x:v>3000</x:v>
      </x:c>
      <x:c r="J6" s="15" t="str">
        <x:v>candidate:layered/L1_action/all_actions.json + L2_node/all_nodes.json</x:v>
      </x:c>
    </x:row>
    <x:row r="7" ht="34.5" customHeight="1">
      <x:c r="A7" s="19" t="str">
        <x:v>trigger_pr_path.u16.r_b_written</x:v>
      </x:c>
      <x:c r="B7" s="19" t="str">
        <x:v>modbus_write_verify</x:v>
      </x:c>
      <x:c r="C7" s="19" t="str">
        <x:v>[{"index":0,"name":"value","type":"u16"}]</x:v>
      </x:c>
      <x:c r="D7" s="19" t="str">
        <x:v>06 60 02 ${value_high} ${value_low}</x:v>
      </x:c>
      <x:c r="E7" s="19" t="str"/>
      <x:c r="F7" s="19" t="str">
        <x:v>06 60 02 ${value_high} ${value_low}</x:v>
      </x:c>
      <x:c r="G7" s="19" t="str">
        <x:v>trigger_pr_path.u16.r_b_done</x:v>
      </x:c>
      <x:c r="H7" s="19" t="str">
        <x:v>{"type":"exists"}</x:v>
      </x:c>
      <x:c r="I7" s="19" t="str">
        <x:v>3000</x:v>
      </x:c>
      <x:c r="J7" s="19" t="str">
        <x:v>candidate:layered/L1_action/all_actions.json + L2_node/all_nodes.json</x:v>
      </x:c>
    </x:row>
    <x:row r="8" ht="34.5" customHeight="1">
      <x:c r="A8" s="15" t="str">
        <x:v>read_state.s.r_i32_previous_pr</x:v>
      </x:c>
      <x:c r="B8" s="15" t="str">
        <x:v>read_variable</x:v>
      </x:c>
      <x:c r="C8" s="15" t="str">
        <x:v>[{"index":0,"name":"key","type":"s"}]</x:v>
      </x:c>
      <x:c r="D8" s="15" t="str"/>
      <x:c r="E8" s="15" t="str"/>
      <x:c r="F8" s="15" t="str"/>
      <x:c r="G8" s="15" t="str">
        <x:v>read_state.s.r_i32_previous_pr</x:v>
      </x:c>
      <x:c r="H8" s="15" t="str">
        <x:v>{}</x:v>
      </x:c>
      <x:c r="I8" s="15" t="str">
        <x:v>3000</x:v>
      </x:c>
      <x:c r="J8" s="15" t="str">
        <x:v>candidate:layered/L1_action/all_actions.json + L2_node/all_nodes.json</x:v>
      </x:c>
    </x:row>
    <x:row r="9" ht="34.5" customHeight="1">
      <x:c r="A9" s="19" t="str">
        <x:v>set_state.s_i32.r_b_saved</x:v>
      </x:c>
      <x:c r="B9" s="19" t="str">
        <x:v>set_variable</x:v>
      </x:c>
      <x:c r="C9" s="19" t="str">
        <x:v>[{"index":0,"name":"key","type":"s"},{"index":1,"name":"value","type":"i32"}]</x:v>
      </x:c>
      <x:c r="D9" s="19" t="str"/>
      <x:c r="E9" s="19" t="str"/>
      <x:c r="F9" s="19" t="str"/>
      <x:c r="G9" s="19" t="str">
        <x:v>set_state.s_i32.r_b_done</x:v>
      </x:c>
      <x:c r="H9" s="19" t="str">
        <x:v>{}</x:v>
      </x:c>
      <x:c r="I9" s="19" t="str">
        <x:v>3000</x:v>
      </x:c>
      <x:c r="J9" s="19" t="str">
        <x:v>candidate:layered/L1_action/all_actions.json + L2_node/all_nodes.json</x:v>
      </x:c>
    </x:row>
    <x:row r="10" ht="34.5" customHeight="1">
      <x:c r="A10" s="15" t="str">
        <x:v>read_fc03_reg602c.r_i32_value</x:v>
      </x:c>
      <x:c r="B10" s="15" t="str">
        <x:v>modbus_read_cache</x:v>
      </x:c>
      <x:c r="C10" s="15" t="str">
        <x:v>[]</x:v>
      </x:c>
      <x:c r="D10" s="15" t="str">
        <x:v>03 60 2C 00 02</x:v>
      </x:c>
      <x:c r="E10" s="15" t="str">
        <x:v>{"start_byte":2,"length":4,"endian":"big","type":"int"}</x:v>
      </x:c>
      <x:c r="F10" s="15" t="str"/>
      <x:c r="G10" s="15" t="str">
        <x:v>read_fc03_reg602c.r_i32_value</x:v>
      </x:c>
      <x:c r="H10" s="15" t="str">
        <x:v>{}</x:v>
      </x:c>
      <x:c r="I10" s="15" t="str">
        <x:v>3000</x:v>
      </x:c>
      <x:c r="J10" s="15" t="str">
        <x:v>candidate:layered/L1_action/all_actions.json + L2_node/all_nodes.json</x:v>
      </x:c>
    </x:row>
    <x:row r="11" ht="34.5" customHeight="1">
      <x:c r="A11" s="19" t="str">
        <x:v>update_ui.s_s</x:v>
      </x:c>
      <x:c r="B11" s="19" t="str">
        <x:v>ui_action</x:v>
      </x:c>
      <x:c r="C11" s="19" t="str">
        <x:v>[{"index":0,"name":"target","type":"s"},{"index":1,"name":"value","type":"s"}]</x:v>
      </x:c>
      <x:c r="D11" s="19" t="str"/>
      <x:c r="E11" s="19" t="str"/>
      <x:c r="F11" s="19" t="str"/>
      <x:c r="G11" s="19" t="str">
        <x:v>update_ui.s_s</x:v>
      </x:c>
      <x:c r="H11" s="19" t="str">
        <x:v>{}</x:v>
      </x:c>
      <x:c r="I11" s="19" t="str">
        <x:v>3000</x:v>
      </x:c>
      <x:c r="J11" s="19" t="str">
        <x:v>candidate:layered/L1_action/all_actions.json + L2_node/all_nodes.json</x:v>
      </x:c>
    </x:row>
    <x:row r="12" ht="34.5" customHeight="1">
      <x:c r="A12" s="15" t="str">
        <x:v>read_fc04_reg0000_expected.r_u16_value</x:v>
      </x:c>
      <x:c r="B12" s="15" t="str">
        <x:v>modbus_read_cache</x:v>
      </x:c>
      <x:c r="C12" s="15" t="str">
        <x:v>[]</x:v>
      </x:c>
      <x:c r="D12" s="15" t="str">
        <x:v>04 00 00 00 01</x:v>
      </x:c>
      <x:c r="E12" s="15" t="str">
        <x:v>{"start_byte":2,"length":2,"endian":"big","type":"uint16"}</x:v>
      </x:c>
      <x:c r="F12" s="15" t="str">
        <x:v>04 02 00 01</x:v>
      </x:c>
      <x:c r="G12" s="15" t="str">
        <x:v>read_fc04_reg0000_expected.r_b_poll_ready</x:v>
      </x:c>
      <x:c r="H12" s="15" t="str">
        <x:v>{"type":"compare","condition":"eq","value":1}</x:v>
      </x:c>
      <x:c r="I12" s="15" t="str">
        <x:v>3000</x:v>
      </x:c>
      <x:c r="J12" s="15" t="str">
        <x:v>candidate:layered/L1_action/all_actions.json + L2_node/all_nodes.json</x:v>
      </x:c>
    </x:row>
    <x:row r="13" ht="34.5" customHeight="1">
      <x:c r="A13" s="19" t="str">
        <x:v>wait_ms.u32.r_b_wait_done</x:v>
      </x:c>
      <x:c r="B13" s="19" t="str">
        <x:v>wait</x:v>
      </x:c>
      <x:c r="C13" s="19" t="str">
        <x:v>[{"index":0,"name":"ms","type":"u32"}]</x:v>
      </x:c>
      <x:c r="D13" s="19" t="str"/>
      <x:c r="E13" s="19" t="str"/>
      <x:c r="F13" s="19" t="str"/>
      <x:c r="G13" s="19" t="str">
        <x:v>wait_ms.u32.r_b_done</x:v>
      </x:c>
      <x:c r="H13" s="19" t="str">
        <x:v>{}</x:v>
      </x:c>
      <x:c r="I13" s="19" t="str">
        <x:v>3600000</x:v>
      </x:c>
      <x:c r="J13" s="19" t="str">
        <x:v>candidate:layered/L1_action/all_actions.json + L2_node/all_nodes.json</x:v>
      </x:c>
    </x:row>
    <x:row r="14" ht="34.5" customHeight="1">
      <x:c r="A14" s="15" t="str">
        <x:v>write_050000.u16.r_b_written</x:v>
      </x:c>
      <x:c r="B14" s="15" t="str">
        <x:v>modbus_write_verify</x:v>
      </x:c>
      <x:c r="C14" s="15" t="str">
        <x:v>[{"index":0,"name":"value","type":"u16"}]</x:v>
      </x:c>
      <x:c r="D14" s="15" t="str">
        <x:v>05 00 00 ${value_high} ${value_low}</x:v>
      </x:c>
      <x:c r="E14" s="15" t="str"/>
      <x:c r="F14" s="15" t="str">
        <x:v>05 00 00 ${value_high} ${value_low}</x:v>
      </x:c>
      <x:c r="G14" s="15" t="str">
        <x:v>write_050000.u16.r_b_done</x:v>
      </x:c>
      <x:c r="H14" s="15" t="str">
        <x:v>{}</x:v>
      </x:c>
      <x:c r="I14" s="15" t="str">
        <x:v>3000</x:v>
      </x:c>
      <x:c r="J14" s="15" t="str">
        <x:v>candidate:layered/L1_action/all_actions.json + L2_node/all_nodes.json</x:v>
      </x:c>
    </x:row>
    <x:row r="15" ht="34.5" customHeight="1">
      <x:c r="A15" s="19" t="str">
        <x:v>write_050012.u16.r_b_written</x:v>
      </x:c>
      <x:c r="B15" s="19" t="str">
        <x:v>modbus_write_verify</x:v>
      </x:c>
      <x:c r="C15" s="19" t="str">
        <x:v>[{"index":0,"name":"value","type":"u16"}]</x:v>
      </x:c>
      <x:c r="D15" s="19" t="str">
        <x:v>05 00 12 ${value_high} ${value_low}</x:v>
      </x:c>
      <x:c r="E15" s="19" t="str"/>
      <x:c r="F15" s="19" t="str">
        <x:v>05 00 12 ${value_high} ${value_low}</x:v>
      </x:c>
      <x:c r="G15" s="19" t="str">
        <x:v>write_050012.u16.r_b_done</x:v>
      </x:c>
      <x:c r="H15" s="19" t="str">
        <x:v>{}</x:v>
      </x:c>
      <x:c r="I15" s="19" t="str">
        <x:v>3000</x:v>
      </x:c>
      <x:c r="J15" s="19" t="str">
        <x:v>candidate:layered/L1_action/all_actions.json + L2_node/all_nodes.json</x:v>
      </x:c>
    </x:row>
    <x:row r="16" ht="34.5" customHeight="1">
      <x:c r="A16" s="15" t="str">
        <x:v>write_050013.u16.r_b_written</x:v>
      </x:c>
      <x:c r="B16" s="15" t="str">
        <x:v>modbus_write_verify</x:v>
      </x:c>
      <x:c r="C16" s="15" t="str">
        <x:v>[{"index":0,"name":"value","type":"u16"}]</x:v>
      </x:c>
      <x:c r="D16" s="15" t="str">
        <x:v>05 00 13 ${value_high} ${value_low}</x:v>
      </x:c>
      <x:c r="E16" s="15" t="str"/>
      <x:c r="F16" s="15" t="str">
        <x:v>05 00 13 ${value_high} ${value_low}</x:v>
      </x:c>
      <x:c r="G16" s="15" t="str">
        <x:v>write_050013.u16.r_b_done</x:v>
      </x:c>
      <x:c r="H16" s="15" t="str">
        <x:v>{}</x:v>
      </x:c>
      <x:c r="I16" s="15" t="str">
        <x:v>3000</x:v>
      </x:c>
      <x:c r="J16" s="15" t="str">
        <x:v>candidate:layered/L1_action/all_actions.json + L2_node/all_nodes.json</x:v>
      </x:c>
    </x:row>
    <x:row r="17" ht="34.5" customHeight="1">
      <x:c r="A17" s="19" t="str">
        <x:v>write_050014.u16.r_b_written</x:v>
      </x:c>
      <x:c r="B17" s="19" t="str">
        <x:v>modbus_write_verify</x:v>
      </x:c>
      <x:c r="C17" s="19" t="str">
        <x:v>[{"index":0,"name":"value","type":"u16"}]</x:v>
      </x:c>
      <x:c r="D17" s="19" t="str">
        <x:v>05 00 14 ${value_high} ${value_low}</x:v>
      </x:c>
      <x:c r="E17" s="19" t="str"/>
      <x:c r="F17" s="19" t="str">
        <x:v>05 00 14 ${value_high} ${value_low}</x:v>
      </x:c>
      <x:c r="G17" s="19" t="str">
        <x:v>write_050014.u16.r_b_done</x:v>
      </x:c>
      <x:c r="H17" s="19" t="str">
        <x:v>{}</x:v>
      </x:c>
      <x:c r="I17" s="19" t="str">
        <x:v>3000</x:v>
      </x:c>
      <x:c r="J17" s="19" t="str">
        <x:v>candidate:layered/L1_action/all_actions.json + L2_node/all_nodes.json</x:v>
      </x:c>
    </x:row>
    <x:row r="18" ht="34.5" customHeight="1">
      <x:c r="A18" s="15" t="str">
        <x:v>write_050008.u16.r_b_written</x:v>
      </x:c>
      <x:c r="B18" s="15" t="str">
        <x:v>modbus_write_verify</x:v>
      </x:c>
      <x:c r="C18" s="15" t="str">
        <x:v>[{"index":0,"name":"value","type":"u16"}]</x:v>
      </x:c>
      <x:c r="D18" s="15" t="str">
        <x:v>05 00 08 ${value_high} ${value_low}</x:v>
      </x:c>
      <x:c r="E18" s="15" t="str"/>
      <x:c r="F18" s="15" t="str">
        <x:v>05 00 08 ${value_high} ${value_low}</x:v>
      </x:c>
      <x:c r="G18" s="15" t="str">
        <x:v>write_050008.u16.r_b_done</x:v>
      </x:c>
      <x:c r="H18" s="15" t="str">
        <x:v>{}</x:v>
      </x:c>
      <x:c r="I18" s="15" t="str">
        <x:v>3000</x:v>
      </x:c>
      <x:c r="J18" s="15" t="str">
        <x:v>candidate:layered/L1_action/all_actions.json + L2_node/all_nodes.json</x:v>
      </x:c>
    </x:row>
    <x:row r="19" ht="34.5" customHeight="1">
      <x:c r="A19" s="19" t="str">
        <x:v>write_050009.u16.r_b_written</x:v>
      </x:c>
      <x:c r="B19" s="19" t="str">
        <x:v>modbus_write_verify</x:v>
      </x:c>
      <x:c r="C19" s="19" t="str">
        <x:v>[{"index":0,"name":"value","type":"u16"}]</x:v>
      </x:c>
      <x:c r="D19" s="19" t="str">
        <x:v>05 00 09 ${value_high} ${value_low}</x:v>
      </x:c>
      <x:c r="E19" s="19" t="str"/>
      <x:c r="F19" s="19" t="str">
        <x:v>05 00 09 ${value_high} ${value_low}</x:v>
      </x:c>
      <x:c r="G19" s="19" t="str">
        <x:v>write_050009.u16.r_b_done</x:v>
      </x:c>
      <x:c r="H19" s="19" t="str">
        <x:v>{}</x:v>
      </x:c>
      <x:c r="I19" s="19" t="str">
        <x:v>3000</x:v>
      </x:c>
      <x:c r="J19" s="19" t="str">
        <x:v>candidate:layered/L1_action/all_actions.json + L2_node/all_nodes.json</x:v>
      </x:c>
    </x:row>
    <x:row r="20" ht="34.5" customHeight="1">
      <x:c r="A20" s="15" t="str">
        <x:v>write_05000a.u16.r_b_written</x:v>
      </x:c>
      <x:c r="B20" s="15" t="str">
        <x:v>modbus_write_verify</x:v>
      </x:c>
      <x:c r="C20" s="15" t="str">
        <x:v>[{"index":0,"name":"value","type":"u16"}]</x:v>
      </x:c>
      <x:c r="D20" s="15" t="str">
        <x:v>05 00 0A ${value_high} ${value_low}</x:v>
      </x:c>
      <x:c r="E20" s="15" t="str"/>
      <x:c r="F20" s="15" t="str">
        <x:v>05 00 0A ${value_high} ${value_low}</x:v>
      </x:c>
      <x:c r="G20" s="15" t="str">
        <x:v>write_05000a.u16.r_b_done</x:v>
      </x:c>
      <x:c r="H20" s="15" t="str">
        <x:v>{}</x:v>
      </x:c>
      <x:c r="I20" s="15" t="str">
        <x:v>3000</x:v>
      </x:c>
      <x:c r="J20" s="15" t="str">
        <x:v>candidate:layered/L1_action/all_actions.json + L2_node/all_nodes.json</x:v>
      </x:c>
    </x:row>
    <x:row r="21" ht="34.5" customHeight="1">
      <x:c r="A21" s="19" t="str">
        <x:v>write_05000b.u16.r_b_written</x:v>
      </x:c>
      <x:c r="B21" s="19" t="str">
        <x:v>modbus_write_verify</x:v>
      </x:c>
      <x:c r="C21" s="19" t="str">
        <x:v>[{"index":0,"name":"value","type":"u16"}]</x:v>
      </x:c>
      <x:c r="D21" s="19" t="str">
        <x:v>05 00 0B ${value_high} ${value_low}</x:v>
      </x:c>
      <x:c r="E21" s="19" t="str"/>
      <x:c r="F21" s="19" t="str">
        <x:v>05 00 0B ${value_high} ${value_low}</x:v>
      </x:c>
      <x:c r="G21" s="19" t="str">
        <x:v>write_05000b.u16.r_b_done</x:v>
      </x:c>
      <x:c r="H21" s="19" t="str">
        <x:v>{}</x:v>
      </x:c>
      <x:c r="I21" s="19" t="str">
        <x:v>3000</x:v>
      </x:c>
      <x:c r="J21" s="19" t="str">
        <x:v>candidate:layered/L1_action/all_actions.json + L2_node/all_nodes.json</x:v>
      </x:c>
    </x:row>
    <x:row r="22" ht="34.5" customHeight="1">
      <x:c r="A22" s="15" t="str">
        <x:v>write_05000c.u16.r_b_written</x:v>
      </x:c>
      <x:c r="B22" s="15" t="str">
        <x:v>modbus_write_verify</x:v>
      </x:c>
      <x:c r="C22" s="15" t="str">
        <x:v>[{"index":0,"name":"value","type":"u16"}]</x:v>
      </x:c>
      <x:c r="D22" s="15" t="str">
        <x:v>05 00 0C ${value_high} ${value_low}</x:v>
      </x:c>
      <x:c r="E22" s="15" t="str"/>
      <x:c r="F22" s="15" t="str">
        <x:v>05 00 0C ${value_high} ${value_low}</x:v>
      </x:c>
      <x:c r="G22" s="15" t="str">
        <x:v>write_05000c.u16.r_b_done</x:v>
      </x:c>
      <x:c r="H22" s="15" t="str">
        <x:v>{}</x:v>
      </x:c>
      <x:c r="I22" s="15" t="str">
        <x:v>3000</x:v>
      </x:c>
      <x:c r="J22" s="15" t="str">
        <x:v>candidate:layered/L1_action/all_actions.json + L2_node/all_nodes.json</x:v>
      </x:c>
    </x:row>
    <x:row r="23" ht="34.5" customHeight="1">
      <x:c r="A23" s="19" t="str">
        <x:v>write_05000d.u16.r_b_written</x:v>
      </x:c>
      <x:c r="B23" s="19" t="str">
        <x:v>modbus_write_verify</x:v>
      </x:c>
      <x:c r="C23" s="19" t="str">
        <x:v>[{"index":0,"name":"value","type":"u16"}]</x:v>
      </x:c>
      <x:c r="D23" s="19" t="str">
        <x:v>05 00 0D ${value_high} ${value_low}</x:v>
      </x:c>
      <x:c r="E23" s="19" t="str"/>
      <x:c r="F23" s="19" t="str">
        <x:v>05 00 0D ${value_high} ${value_low}</x:v>
      </x:c>
      <x:c r="G23" s="19" t="str">
        <x:v>write_05000d.u16.r_b_done</x:v>
      </x:c>
      <x:c r="H23" s="19" t="str">
        <x:v>{}</x:v>
      </x:c>
      <x:c r="I23" s="19" t="str">
        <x:v>3000</x:v>
      </x:c>
      <x:c r="J23" s="19" t="str">
        <x:v>candidate:layered/L1_action/all_actions.json + L2_node/all_nodes.json</x:v>
      </x:c>
    </x:row>
    <x:row r="24" ht="34.5" customHeight="1">
      <x:c r="A24" s="15" t="str">
        <x:v>write_05000e.u16.r_b_written</x:v>
      </x:c>
      <x:c r="B24" s="15" t="str">
        <x:v>modbus_write_verify</x:v>
      </x:c>
      <x:c r="C24" s="15" t="str">
        <x:v>[{"index":0,"name":"value","type":"u16"}]</x:v>
      </x:c>
      <x:c r="D24" s="15" t="str">
        <x:v>05 00 0E ${value_high} ${value_low}</x:v>
      </x:c>
      <x:c r="E24" s="15" t="str"/>
      <x:c r="F24" s="15" t="str">
        <x:v>05 00 0E ${value_high} ${value_low}</x:v>
      </x:c>
      <x:c r="G24" s="15" t="str">
        <x:v>write_05000e.u16.r_b_done</x:v>
      </x:c>
      <x:c r="H24" s="15" t="str">
        <x:v>{}</x:v>
      </x:c>
      <x:c r="I24" s="15" t="str">
        <x:v>3000</x:v>
      </x:c>
      <x:c r="J24" s="15" t="str">
        <x:v>candidate:layered/L1_action/all_actions.json + L2_node/all_nodes.json</x:v>
      </x:c>
    </x:row>
    <x:row r="25" ht="60" customHeight="1">
      <x:c r="A25" s="19" t="str">
        <x:v>read_fc03_reg2203.r_u16_value</x:v>
      </x:c>
      <x:c r="B25" s="19" t="str">
        <x:v>modbus_read_cache</x:v>
      </x:c>
      <x:c r="C25" s="19" t="str">
        <x:v>[]</x:v>
      </x:c>
      <x:c r="D25" s="19" t="str">
        <x:v>03 22 03 00 01</x:v>
      </x:c>
      <x:c r="E25" s="19" t="str">
        <x:v>{"start_byte":2,"length":2,"endian":"big","type":"int"}</x:v>
      </x:c>
      <x:c r="F25" s="19" t="str"/>
      <x:c r="G25" s="19" t="str">
        <x:v>read_fc03_reg2203_x_alarm.r_b_check_ok; read_fc03_reg2203_y_alarm.r_b_check_ok; read_fc03_reg2203_y_alarm_y2.r_b_check_ok; read_fc03_reg2203_z_alarm.r_b_check_ok</x:v>
      </x:c>
      <x:c r="H25" s="19" t="str">
        <x:v>{"type":"compare","condition":"eq","value":0}; {"type":"compare","condition":"eq","value":0}; {"type":"compare","condition":"eq","value":0}; {"type":"compare","condition":"eq","value":0}</x:v>
      </x:c>
      <x:c r="I25" s="19" t="str">
        <x:v>3000; 3000; 3000; 3000</x:v>
      </x:c>
      <x:c r="J25" s="19" t="str">
        <x:v>candidate:layered/L1_action/all_actions.json + L2_node/all_nodes.json</x:v>
      </x:c>
    </x:row>
    <x:row r="26" ht="34.5" customHeight="1">
      <x:c r="A26" s="15" t="str">
        <x:v>read_fc03_reg1003.r_u16_value</x:v>
      </x:c>
      <x:c r="B26" s="15" t="str">
        <x:v>modbus_read_cache</x:v>
      </x:c>
      <x:c r="C26" s="15" t="str">
        <x:v>[]</x:v>
      </x:c>
      <x:c r="D26" s="15" t="str">
        <x:v>03 10 03 00 01</x:v>
      </x:c>
      <x:c r="E26" s="15" t="str">
        <x:v>{"start_byte":2,"length":2,"endian":"big","type":"int"}</x:v>
      </x:c>
      <x:c r="F26" s="15" t="str"/>
      <x:c r="G26" s="15" t="str">
        <x:v>read_fc03_reg1003.r_u16_value</x:v>
      </x:c>
      <x:c r="H26" s="15" t="str">
        <x:v>{}</x:v>
      </x:c>
      <x:c r="I26" s="15" t="str">
        <x:v>3000</x:v>
      </x:c>
      <x:c r="J26" s="15" t="str">
        <x:v>candidate:layered/L1_action/all_actions.json + L2_node/all_nodes.json</x:v>
      </x:c>
    </x:row>
    <x:row r="27" ht="34.5" customHeight="1">
      <x:c r="A27" s="19" t="str">
        <x:v>read_fc04_reg0034_expected.r_u16_value</x:v>
      </x:c>
      <x:c r="B27" s="19" t="str">
        <x:v>modbus_read_cache</x:v>
      </x:c>
      <x:c r="C27" s="19" t="str">
        <x:v>[]</x:v>
      </x:c>
      <x:c r="D27" s="19" t="str">
        <x:v>04 00 34 00 01</x:v>
      </x:c>
      <x:c r="E27" s="19" t="str">
        <x:v>{"start_byte":2,"length":2,"endian":"big","type":"uint16"}</x:v>
      </x:c>
      <x:c r="F27" s="19" t="str">
        <x:v>04 02 00 01</x:v>
      </x:c>
      <x:c r="G27" s="19" t="str">
        <x:v>read_fc04_reg0034_expected.r_b_poll_ready</x:v>
      </x:c>
      <x:c r="H27" s="19" t="str">
        <x:v>{"type":"compare","condition":"eq","value":1}</x:v>
      </x:c>
      <x:c r="I27" s="19" t="str">
        <x:v>3000</x:v>
      </x:c>
      <x:c r="J27" s="19" t="str">
        <x:v>candidate:layered/L1_action/all_actions.json + L2_node/all_nodes.json</x:v>
      </x:c>
    </x:row>
    <x:row r="28" ht="34.5" customHeight="1">
      <x:c r="A28" s="15" t="str">
        <x:v>read_fc04_reg0041_expected.r_u16_value</x:v>
      </x:c>
      <x:c r="B28" s="15" t="str">
        <x:v>modbus_read_cache</x:v>
      </x:c>
      <x:c r="C28" s="15" t="str">
        <x:v>[]</x:v>
      </x:c>
      <x:c r="D28" s="15" t="str">
        <x:v>04 00 41 00 01</x:v>
      </x:c>
      <x:c r="E28" s="15" t="str">
        <x:v>{"start_byte":2,"length":2,"endian":"big","type":"uint16"}</x:v>
      </x:c>
      <x:c r="F28" s="15" t="str">
        <x:v>04 02 00 01</x:v>
      </x:c>
      <x:c r="G28" s="15" t="str">
        <x:v>read_fc04_reg0041_expected.r_b_poll_ready</x:v>
      </x:c>
      <x:c r="H28" s="15" t="str">
        <x:v>{"type":"compare","condition":"eq","value":1}</x:v>
      </x:c>
      <x:c r="I28" s="15" t="str">
        <x:v>3000</x:v>
      </x:c>
      <x:c r="J28" s="15" t="str">
        <x:v>candidate:layered/L1_action/all_actions.json + L2_node/all_nodes.json</x:v>
      </x:c>
    </x:row>
    <x:row r="29" ht="34.5" customHeight="1">
      <x:c r="A29" s="19" t="str">
        <x:v>read_fc04_reg0001_expected.r_u16_value</x:v>
      </x:c>
      <x:c r="B29" s="19" t="str">
        <x:v>modbus_read_cache</x:v>
      </x:c>
      <x:c r="C29" s="19" t="str">
        <x:v>[]</x:v>
      </x:c>
      <x:c r="D29" s="19" t="str">
        <x:v>04 00 01 00 01</x:v>
      </x:c>
      <x:c r="E29" s="19" t="str">
        <x:v>{"start_byte":2,"length":2,"endian":"big","type":"uint16"}</x:v>
      </x:c>
      <x:c r="F29" s="19" t="str">
        <x:v>04 02 00 01</x:v>
      </x:c>
      <x:c r="G29" s="19" t="str">
        <x:v>read_fc04_reg0001_expected.r_b_poll_ready</x:v>
      </x:c>
      <x:c r="H29" s="19" t="str">
        <x:v>{"type":"compare","condition":"eq","value":1}</x:v>
      </x:c>
      <x:c r="I29" s="19" t="str">
        <x:v>3000</x:v>
      </x:c>
      <x:c r="J29" s="19" t="str">
        <x:v>candidate:layered/L1_action/all_actions.json + L2_node/all_nodes.json</x:v>
      </x:c>
    </x:row>
    <x:row r="30" ht="34.5" customHeight="1">
      <x:c r="A30" s="15" t="str">
        <x:v>read_fc04_reg0035_expected.r_u16_value</x:v>
      </x:c>
      <x:c r="B30" s="15" t="str">
        <x:v>modbus_read_cache</x:v>
      </x:c>
      <x:c r="C30" s="15" t="str">
        <x:v>[]</x:v>
      </x:c>
      <x:c r="D30" s="15" t="str">
        <x:v>04 00 35 00 01</x:v>
      </x:c>
      <x:c r="E30" s="15" t="str">
        <x:v>{"start_byte":2,"length":2,"endian":"big","type":"uint16"}</x:v>
      </x:c>
      <x:c r="F30" s="15" t="str">
        <x:v>04 02 00 01</x:v>
      </x:c>
      <x:c r="G30" s="15" t="str">
        <x:v>read_fc04_reg0035_expected.r_b_poll_ready</x:v>
      </x:c>
      <x:c r="H30" s="15" t="str">
        <x:v>{"type":"compare","condition":"eq","value":1}</x:v>
      </x:c>
      <x:c r="I30" s="15" t="str">
        <x:v>3000</x:v>
      </x:c>
      <x:c r="J30" s="15" t="str">
        <x:v>candidate:layered/L1_action/all_actions.json + L2_node/all_nodes.json</x:v>
      </x:c>
    </x:row>
    <x:row r="31" ht="34.5" customHeight="1">
      <x:c r="A31" s="19" t="str">
        <x:v>read_fc04_reg0036_expected.r_u16_value</x:v>
      </x:c>
      <x:c r="B31" s="19" t="str">
        <x:v>modbus_read_cache</x:v>
      </x:c>
      <x:c r="C31" s="19" t="str">
        <x:v>[]</x:v>
      </x:c>
      <x:c r="D31" s="19" t="str">
        <x:v>04 00 36 00 01</x:v>
      </x:c>
      <x:c r="E31" s="19" t="str">
        <x:v>{"start_byte":2,"length":2,"endian":"big","type":"uint16"}</x:v>
      </x:c>
      <x:c r="F31" s="19" t="str">
        <x:v>04 02 00 01</x:v>
      </x:c>
      <x:c r="G31" s="19" t="str">
        <x:v>read_fc04_reg0036_expected.r_b_poll_ready</x:v>
      </x:c>
      <x:c r="H31" s="19" t="str">
        <x:v>{"type":"compare","condition":"eq","value":1}</x:v>
      </x:c>
      <x:c r="I31" s="19" t="str">
        <x:v>3000</x:v>
      </x:c>
      <x:c r="J31" s="19" t="str">
        <x:v>candidate:layered/L1_action/all_actions.json + L2_node/all_nodes.json</x:v>
      </x:c>
    </x:row>
    <x:row r="32" ht="34.5" customHeight="1">
      <x:c r="A32" s="15" t="str">
        <x:v>read_fc04_reg0037_expected.r_u16_value</x:v>
      </x:c>
      <x:c r="B32" s="15" t="str">
        <x:v>modbus_read_cache</x:v>
      </x:c>
      <x:c r="C32" s="15" t="str">
        <x:v>[]</x:v>
      </x:c>
      <x:c r="D32" s="15" t="str">
        <x:v>04 00 37 00 01</x:v>
      </x:c>
      <x:c r="E32" s="15" t="str">
        <x:v>{"start_byte":2,"length":2,"endian":"big","type":"uint16"}</x:v>
      </x:c>
      <x:c r="F32" s="15" t="str">
        <x:v>04 02 00 01</x:v>
      </x:c>
      <x:c r="G32" s="15" t="str">
        <x:v>read_fc04_reg0037_expected.r_b_poll_ready</x:v>
      </x:c>
      <x:c r="H32" s="15" t="str">
        <x:v>{"type":"compare","condition":"eq","value":1}</x:v>
      </x:c>
      <x:c r="I32" s="15" t="str">
        <x:v>3000</x:v>
      </x:c>
      <x:c r="J32" s="15" t="str">
        <x:v>candidate:layered/L1_action/all_actions.json + L2_node/all_nodes.json</x:v>
      </x:c>
    </x:row>
    <x:row r="33" ht="34.5" customHeight="1">
      <x:c r="A33" s="19" t="str">
        <x:v>read_fc04_reg0034.r_u16_value</x:v>
      </x:c>
      <x:c r="B33" s="19" t="str">
        <x:v>modbus_read_cache</x:v>
      </x:c>
      <x:c r="C33" s="19" t="str">
        <x:v>[]</x:v>
      </x:c>
      <x:c r="D33" s="19" t="str">
        <x:v>04 00 34 00 01</x:v>
      </x:c>
      <x:c r="E33" s="19" t="str">
        <x:v>{"start_byte":2,"length":2,"endian":"big","type":"uint16"}</x:v>
      </x:c>
      <x:c r="F33" s="19" t="str"/>
      <x:c r="G33" s="19" t="str">
        <x:v>read_fc04_reg0034.r_u16_value</x:v>
      </x:c>
      <x:c r="H33" s="19" t="str">
        <x:v>{}</x:v>
      </x:c>
      <x:c r="I33" s="19" t="str">
        <x:v>3000</x:v>
      </x:c>
      <x:c r="J33" s="19" t="str">
        <x:v>candidate:layered/L1_action/all_actions.json + L2_node/all_nodes.json</x:v>
      </x:c>
    </x:row>
    <x:row r="34" ht="34.5" customHeight="1">
      <x:c r="A34" s="15" t="str">
        <x:v>read_fc04_reg0035.r_u16_value</x:v>
      </x:c>
      <x:c r="B34" s="15" t="str">
        <x:v>modbus_read_cache</x:v>
      </x:c>
      <x:c r="C34" s="15" t="str">
        <x:v>[]</x:v>
      </x:c>
      <x:c r="D34" s="15" t="str">
        <x:v>04 00 35 00 01</x:v>
      </x:c>
      <x:c r="E34" s="15" t="str">
        <x:v>{"start_byte":2,"length":2,"endian":"big","type":"uint16"}</x:v>
      </x:c>
      <x:c r="F34" s="15" t="str"/>
      <x:c r="G34" s="15" t="str">
        <x:v>read_fc04_reg0035.r_u16_value</x:v>
      </x:c>
      <x:c r="H34" s="15" t="str">
        <x:v>{}</x:v>
      </x:c>
      <x:c r="I34" s="15" t="str">
        <x:v>3000</x:v>
      </x:c>
      <x:c r="J34" s="15" t="str">
        <x:v>candidate:layered/L1_action/all_actions.json + L2_node/all_nodes.json</x:v>
      </x:c>
    </x:row>
    <x:row r="35" ht="34.5" customHeight="1">
      <x:c r="A35" s="19" t="str">
        <x:v>read_fc04_reg0036.r_u16_value</x:v>
      </x:c>
      <x:c r="B35" s="19" t="str">
        <x:v>modbus_read_cache</x:v>
      </x:c>
      <x:c r="C35" s="19" t="str">
        <x:v>[]</x:v>
      </x:c>
      <x:c r="D35" s="19" t="str">
        <x:v>04 00 36 00 01</x:v>
      </x:c>
      <x:c r="E35" s="19" t="str">
        <x:v>{"start_byte":2,"length":2,"endian":"big","type":"uint16"}</x:v>
      </x:c>
      <x:c r="F35" s="19" t="str"/>
      <x:c r="G35" s="19" t="str">
        <x:v>read_fc04_reg0036.r_u16_value</x:v>
      </x:c>
      <x:c r="H35" s="19" t="str">
        <x:v>{}</x:v>
      </x:c>
      <x:c r="I35" s="19" t="str">
        <x:v>3000</x:v>
      </x:c>
      <x:c r="J35" s="19" t="str">
        <x:v>candidate:layered/L1_action/all_actions.json + L2_node/all_nodes.json</x:v>
      </x:c>
    </x:row>
    <x:row r="36" ht="34.5" customHeight="1">
      <x:c r="A36" s="15" t="str">
        <x:v>read_fc04_reg0037.r_u16_value</x:v>
      </x:c>
      <x:c r="B36" s="15" t="str">
        <x:v>modbus_read_cache</x:v>
      </x:c>
      <x:c r="C36" s="15" t="str">
        <x:v>[]</x:v>
      </x:c>
      <x:c r="D36" s="15" t="str">
        <x:v>04 00 37 00 01</x:v>
      </x:c>
      <x:c r="E36" s="15" t="str">
        <x:v>{"start_byte":2,"length":2,"endian":"big","type":"uint16"}</x:v>
      </x:c>
      <x:c r="F36" s="15" t="str"/>
      <x:c r="G36" s="15" t="str">
        <x:v>read_fc04_reg0037.r_u16_value</x:v>
      </x:c>
      <x:c r="H36" s="15" t="str">
        <x:v>{}</x:v>
      </x:c>
      <x:c r="I36" s="15" t="str">
        <x:v>3000</x:v>
      </x:c>
      <x:c r="J36" s="15" t="str">
        <x:v>candidate:layered/L1_action/all_actions.json + L2_node/all_nodes.json</x:v>
      </x:c>
    </x:row>
    <x:row r="37" ht="34.5" customHeight="1">
      <x:c r="A37" s="19" t="str">
        <x:v>read_fc03_reg0020.r_i32_value</x:v>
      </x:c>
      <x:c r="B37" s="19" t="str">
        <x:v>modbus_read_cache</x:v>
      </x:c>
      <x:c r="C37" s="19" t="str">
        <x:v>[]</x:v>
      </x:c>
      <x:c r="D37" s="19" t="str">
        <x:v>03 00 20 00 02</x:v>
      </x:c>
      <x:c r="E37" s="19" t="str">
        <x:v>{"start_byte":2,"length":4,"endian":"big","type":"int"}</x:v>
      </x:c>
      <x:c r="F37" s="19" t="str"/>
      <x:c r="G37" s="19" t="str">
        <x:v>read_fc03_reg0020.r_i32_value</x:v>
      </x:c>
      <x:c r="H37" s="19" t="str">
        <x:v>{}</x:v>
      </x:c>
      <x:c r="I37" s="19" t="str">
        <x:v>3000</x:v>
      </x:c>
      <x:c r="J37" s="19" t="str">
        <x:v>candidate:layered/L1_action/all_actions.json + L2_node/all_nodes.json</x:v>
      </x:c>
    </x:row>
    <x:row r="38" ht="34.5" customHeight="1">
      <x:c r="A38" s="15" t="str">
        <x:v>read_fc03_reg0010_le.r_f_value</x:v>
      </x:c>
      <x:c r="B38" s="15" t="str">
        <x:v>modbus_read_cache</x:v>
      </x:c>
      <x:c r="C38" s="15" t="str">
        <x:v>[]</x:v>
      </x:c>
      <x:c r="D38" s="15" t="str">
        <x:v>03 00 10 00 02</x:v>
      </x:c>
      <x:c r="E38" s="15" t="str">
        <x:v>{"start_byte":2,"length":4,"endian":"little","type":"float"}</x:v>
      </x:c>
      <x:c r="F38" s="15" t="str"/>
      <x:c r="G38" s="15" t="str">
        <x:v>read_fc03_reg0010_le_rinse_pressure_low.r_b_check_ok; read_fc03_reg0010_le_cip_pressure_low.r_b_check_ok</x:v>
      </x:c>
      <x:c r="H38" s="15" t="str">
        <x:v>{"type":"compare","condition":"ge","value":0.2}; {"type":"compare","condition":"ge","value":0.3}</x:v>
      </x:c>
      <x:c r="I38" s="15" t="str">
        <x:v>3000; 3000</x:v>
      </x:c>
      <x:c r="J38" s="15" t="str">
        <x:v>candidate:layered/L1_action/all_actions.json + L2_node/all_nodes.json</x:v>
      </x:c>
    </x:row>
    <x:row r="39" ht="34.5" customHeight="1">
      <x:c r="A39" s="19" t="str">
        <x:v>read_fc04_reg0042_expected.r_u16_value</x:v>
      </x:c>
      <x:c r="B39" s="19" t="str">
        <x:v>modbus_read_cache</x:v>
      </x:c>
      <x:c r="C39" s="19" t="str">
        <x:v>[]</x:v>
      </x:c>
      <x:c r="D39" s="19" t="str">
        <x:v>04 00 42 00 01</x:v>
      </x:c>
      <x:c r="E39" s="19" t="str">
        <x:v>{"start_byte":2,"length":2,"endian":"big","type":"uint16"}</x:v>
      </x:c>
      <x:c r="F39" s="19" t="str">
        <x:v>04 02 00 01</x:v>
      </x:c>
      <x:c r="G39" s="19" t="str">
        <x:v>read_fc04_reg0042_expected.r_b_poll_ready</x:v>
      </x:c>
      <x:c r="H39" s="19" t="str">
        <x:v>{"type":"compare","condition":"eq","value":1}</x:v>
      </x:c>
      <x:c r="I39" s="19" t="str">
        <x:v>3000</x:v>
      </x:c>
      <x:c r="J39" s="19" t="str">
        <x:v>candidate:layered/L1_action/all_actions.json + L2_node/all_nodes.json</x:v>
      </x:c>
    </x:row>
    <x:row r="40" ht="34.5" customHeight="1">
      <x:c r="A40" s="15" t="str">
        <x:v>read_fc04_reg0043_expected.r_u16_value</x:v>
      </x:c>
      <x:c r="B40" s="15" t="str">
        <x:v>modbus_read_cache</x:v>
      </x:c>
      <x:c r="C40" s="15" t="str">
        <x:v>[]</x:v>
      </x:c>
      <x:c r="D40" s="15" t="str">
        <x:v>04 00 43 00 01</x:v>
      </x:c>
      <x:c r="E40" s="15" t="str">
        <x:v>{"start_byte":2,"length":2,"endian":"big","type":"uint16"}</x:v>
      </x:c>
      <x:c r="F40" s="15" t="str">
        <x:v>04 02 00 01</x:v>
      </x:c>
      <x:c r="G40" s="15" t="str">
        <x:v>read_fc04_reg0043_expected.r_b_poll_ready</x:v>
      </x:c>
      <x:c r="H40" s="15" t="str">
        <x:v>{"type":"compare","condition":"eq","value":1}</x:v>
      </x:c>
      <x:c r="I40" s="15" t="str">
        <x:v>3000</x:v>
      </x:c>
      <x:c r="J40" s="15" t="str">
        <x:v>candidate:layered/L1_action/all_actions.json + L2_node/all_nodes.json</x:v>
      </x:c>
    </x:row>
    <x:row r="41" ht="34.5" customHeight="1">
      <x:c r="A41" s="19" t="str">
        <x:v>read_fc04_reg0044_expected.r_u16_value</x:v>
      </x:c>
      <x:c r="B41" s="19" t="str">
        <x:v>modbus_read_cache</x:v>
      </x:c>
      <x:c r="C41" s="19" t="str">
        <x:v>[]</x:v>
      </x:c>
      <x:c r="D41" s="19" t="str">
        <x:v>04 00 44 00 01</x:v>
      </x:c>
      <x:c r="E41" s="19" t="str">
        <x:v>{"start_byte":2,"length":2,"endian":"big","type":"uint16"}</x:v>
      </x:c>
      <x:c r="F41" s="19" t="str">
        <x:v>04 02 00 01</x:v>
      </x:c>
      <x:c r="G41" s="19" t="str">
        <x:v>read_fc04_reg0044_expected.r_b_poll_ready</x:v>
      </x:c>
      <x:c r="H41" s="19" t="str">
        <x:v>{"type":"compare","condition":"eq","value":1}</x:v>
      </x:c>
      <x:c r="I41" s="19" t="str">
        <x:v>3000</x:v>
      </x:c>
      <x:c r="J41" s="19" t="str">
        <x:v>candidate:layered/L1_action/all_actions.json + L2_node/all_nodes.json</x:v>
      </x:c>
    </x:row>
    <x:row r="42" ht="34.5" customHeight="1">
      <x:c r="A42" s="15" t="str">
        <x:v>read_fc04_reg0045_expected.r_u16_value</x:v>
      </x:c>
      <x:c r="B42" s="15" t="str">
        <x:v>modbus_read_cache</x:v>
      </x:c>
      <x:c r="C42" s="15" t="str">
        <x:v>[]</x:v>
      </x:c>
      <x:c r="D42" s="15" t="str">
        <x:v>04 00 45 00 01</x:v>
      </x:c>
      <x:c r="E42" s="15" t="str">
        <x:v>{"start_byte":2,"length":2,"endian":"big","type":"uint16"}</x:v>
      </x:c>
      <x:c r="F42" s="15" t="str">
        <x:v>04 02 00 01</x:v>
      </x:c>
      <x:c r="G42" s="15" t="str">
        <x:v>read_fc04_reg0045_expected.r_b_poll_ready</x:v>
      </x:c>
      <x:c r="H42" s="15" t="str">
        <x:v>{"type":"compare","condition":"eq","value":1}</x:v>
      </x:c>
      <x:c r="I42" s="15" t="str">
        <x:v>3000</x:v>
      </x:c>
      <x:c r="J42" s="15" t="str">
        <x:v>candidate:layered/L1_action/all_actions.json + L2_node/all_nodes.json</x:v>
      </x:c>
    </x:row>
    <x:row r="43" ht="34.5" customHeight="1">
      <x:c r="A43" s="19" t="str">
        <x:v>write_060001.u16.r_b_written</x:v>
      </x:c>
      <x:c r="B43" s="19" t="str">
        <x:v>modbus_write_verify</x:v>
      </x:c>
      <x:c r="C43" s="19" t="str">
        <x:v>[{"index":0,"name":"value","type":"u16"}]</x:v>
      </x:c>
      <x:c r="D43" s="19" t="str">
        <x:v>06 00 01 ${value_high} ${value_low}</x:v>
      </x:c>
      <x:c r="E43" s="19" t="str"/>
      <x:c r="F43" s="19" t="str">
        <x:v>06 00 01 ${value_high} ${value_low}</x:v>
      </x:c>
      <x:c r="G43" s="19" t="str">
        <x:v>write_060001.u16.r_b_done</x:v>
      </x:c>
      <x:c r="H43" s="19" t="str">
        <x:v>{}</x:v>
      </x:c>
      <x:c r="I43" s="19" t="str">
        <x:v>3000</x:v>
      </x:c>
      <x:c r="J43" s="19" t="str">
        <x:v>candidate:layered/L1_action/all_actions.json + L2_node/all_nodes.json</x:v>
      </x:c>
    </x:row>
    <x:row r="44" ht="34.5" customHeight="1">
      <x:c r="A44" s="15" t="str">
        <x:v>write_060010.u16.r_b_written</x:v>
      </x:c>
      <x:c r="B44" s="15" t="str">
        <x:v>modbus_write_verify</x:v>
      </x:c>
      <x:c r="C44" s="15" t="str">
        <x:v>[{"index":0,"name":"value","type":"u16"}]</x:v>
      </x:c>
      <x:c r="D44" s="15" t="str">
        <x:v>06 00 10 ${value_high} ${value_low}</x:v>
      </x:c>
      <x:c r="E44" s="15" t="str"/>
      <x:c r="F44" s="15" t="str">
        <x:v>06 00 10 ${value_high} ${value_low}</x:v>
      </x:c>
      <x:c r="G44" s="15" t="str">
        <x:v>write_060010.u16.r_b_done</x:v>
      </x:c>
      <x:c r="H44" s="15" t="str">
        <x:v>{}</x:v>
      </x:c>
      <x:c r="I44" s="15" t="str">
        <x:v>3000</x:v>
      </x:c>
      <x:c r="J44" s="15" t="str">
        <x:v>candidate:layered/L1_action/all_actions.json + L2_node/all_nodes.json</x:v>
      </x:c>
    </x:row>
    <x:row r="45" ht="34.5" customHeight="1">
      <x:c r="A45" s="19" t="str">
        <x:v>write_060011.u16.r_b_written</x:v>
      </x:c>
      <x:c r="B45" s="19" t="str">
        <x:v>modbus_write_verify</x:v>
      </x:c>
      <x:c r="C45" s="19" t="str">
        <x:v>[{"index":0,"name":"value","type":"u16"}]</x:v>
      </x:c>
      <x:c r="D45" s="19" t="str">
        <x:v>06 00 11 ${value_high} ${value_low}</x:v>
      </x:c>
      <x:c r="E45" s="19" t="str"/>
      <x:c r="F45" s="19" t="str">
        <x:v>06 00 11 ${value_high} ${value_low}</x:v>
      </x:c>
      <x:c r="G45" s="19" t="str">
        <x:v>write_060011.u16.r_b_done</x:v>
      </x:c>
      <x:c r="H45" s="19" t="str">
        <x:v>{}</x:v>
      </x:c>
      <x:c r="I45" s="19" t="str">
        <x:v>3000</x:v>
      </x:c>
      <x:c r="J45" s="19" t="str">
        <x:v>candidate:layered/L1_action/all_actions.json + L2_node/all_nodes.json</x:v>
      </x:c>
    </x:row>
    <x:row r="46" ht="34.5" customHeight="1">
      <x:c r="A46" s="15" t="str">
        <x:v>read_fc03_reg0000_le.r_f_value</x:v>
      </x:c>
      <x:c r="B46" s="15" t="str">
        <x:v>modbus_read_cache</x:v>
      </x:c>
      <x:c r="C46" s="15" t="str">
        <x:v>[]</x:v>
      </x:c>
      <x:c r="D46" s="15" t="str">
        <x:v>03 00 00 00 02</x:v>
      </x:c>
      <x:c r="E46" s="15" t="str">
        <x:v>{"start_byte":2,"length":4,"endian":"little","type":"float"}</x:v>
      </x:c>
      <x:c r="F46" s="15" t="str"/>
      <x:c r="G46" s="15" t="str">
        <x:v>read_fc03_reg0000_le_flow_not_reached.r_b_check_ok; read_fc03_reg0000_le.r_f_value</x:v>
      </x:c>
      <x:c r="H46" s="15" t="str">
        <x:v>{"type":"compare","condition":"ge","value":"${recipes[recipe_index].volume_ml}"}; {}</x:v>
      </x:c>
      <x:c r="I46" s="15" t="str">
        <x:v>3000; 3000</x:v>
      </x:c>
      <x:c r="J46" s="15" t="str">
        <x:v>candidate:layered/L1_action/all_actions.json + L2_node/all_nodes.json</x:v>
      </x:c>
    </x:row>
    <x:row r="47" ht="34.5" customHeight="1">
      <x:c r="A47" s="19" t="str">
        <x:v>read_fc04_reg0038_expected.r_u16_value</x:v>
      </x:c>
      <x:c r="B47" s="19" t="str">
        <x:v>modbus_read_cache</x:v>
      </x:c>
      <x:c r="C47" s="19" t="str">
        <x:v>[]</x:v>
      </x:c>
      <x:c r="D47" s="19" t="str">
        <x:v>04 00 38 00 01</x:v>
      </x:c>
      <x:c r="E47" s="19" t="str">
        <x:v>{"start_byte":2,"length":2,"endian":"big","type":"uint16"}</x:v>
      </x:c>
      <x:c r="F47" s="19" t="str">
        <x:v>04 02 00 01</x:v>
      </x:c>
      <x:c r="G47" s="19" t="str">
        <x:v>read_fc04_reg0038_expected.r_b_poll_ready</x:v>
      </x:c>
      <x:c r="H47" s="19" t="str">
        <x:v>{"type":"compare","condition":"eq","value":1}</x:v>
      </x:c>
      <x:c r="I47" s="19" t="str">
        <x:v>3000</x:v>
      </x:c>
      <x:c r="J47" s="19" t="str">
        <x:v>candidate:layered/L1_action/all_actions.json + L2_node/all_nodes.json</x:v>
      </x:c>
    </x:row>
    <x:row r="48" ht="34.5" customHeight="1">
      <x:c r="A48" s="15" t="str">
        <x:v>read_fc03_reg0012_le.r_f_value</x:v>
      </x:c>
      <x:c r="B48" s="15" t="str">
        <x:v>modbus_read_cache</x:v>
      </x:c>
      <x:c r="C48" s="15" t="str">
        <x:v>[]</x:v>
      </x:c>
      <x:c r="D48" s="15" t="str">
        <x:v>03 00 12 00 02</x:v>
      </x:c>
      <x:c r="E48" s="15" t="str">
        <x:v>{"start_byte":2,"length":4,"endian":"little","type":"float"}</x:v>
      </x:c>
      <x:c r="F48" s="15" t="str"/>
      <x:c r="G48" s="15" t="str">
        <x:v>read_fc03_reg0012_le_fill_pressure_low.r_b_check_ok</x:v>
      </x:c>
      <x:c r="H48" s="15" t="str">
        <x:v>{"type":"compare","condition":"ge","value":0.1}</x:v>
      </x:c>
      <x:c r="I48" s="15" t="str">
        <x:v>3000</x:v>
      </x:c>
      <x:c r="J48" s="15" t="str">
        <x:v>candidate:layered/L1_action/all_actions.json + L2_node/all_nodes.json</x:v>
      </x:c>
    </x:row>
    <x:row r="49" ht="34.5" customHeight="1">
      <x:c r="A49" s="19" t="str">
        <x:v>read_fc03_reg0012.r_u16_value</x:v>
      </x:c>
      <x:c r="B49" s="19" t="str">
        <x:v>modbus_read_cache</x:v>
      </x:c>
      <x:c r="C49" s="19" t="str">
        <x:v>[]</x:v>
      </x:c>
      <x:c r="D49" s="19" t="str">
        <x:v>03 00 12 00 01</x:v>
      </x:c>
      <x:c r="E49" s="19" t="str">
        <x:v>{"start_byte":2,"length":2,"endian":"big","type":"uint16"}</x:v>
      </x:c>
      <x:c r="F49" s="19" t="str"/>
      <x:c r="G49" s="19" t="str">
        <x:v>read_fc03_reg0012.r_u16_value</x:v>
      </x:c>
      <x:c r="H49" s="19" t="str">
        <x:v>{}</x:v>
      </x:c>
      <x:c r="I49" s="19" t="str">
        <x:v>3000</x:v>
      </x:c>
      <x:c r="J49" s="19" t="str">
        <x:v>candidate:layered/L1_action/all_actions.json + L2_node/all_nodes.json</x:v>
      </x:c>
    </x:row>
    <x:row r="50" ht="34.5" customHeight="1">
      <x:c r="A50" s="15" t="str">
        <x:v>read_fc04_reg0039_expected.r_u16_value</x:v>
      </x:c>
      <x:c r="B50" s="15" t="str">
        <x:v>modbus_read_cache</x:v>
      </x:c>
      <x:c r="C50" s="15" t="str">
        <x:v>[]</x:v>
      </x:c>
      <x:c r="D50" s="15" t="str">
        <x:v>04 00 39 00 01</x:v>
      </x:c>
      <x:c r="E50" s="15" t="str">
        <x:v>{"start_byte":2,"length":2,"endian":"big","type":"uint16"}</x:v>
      </x:c>
      <x:c r="F50" s="15" t="str">
        <x:v>04 02 00 01</x:v>
      </x:c>
      <x:c r="G50" s="15" t="str">
        <x:v>read_fc04_reg0039_expected.r_b_poll_ready</x:v>
      </x:c>
      <x:c r="H50" s="15" t="str">
        <x:v>{"type":"compare","condition":"eq","value":1}</x:v>
      </x:c>
      <x:c r="I50" s="15" t="str">
        <x:v>3000</x:v>
      </x:c>
      <x:c r="J50" s="15" t="str">
        <x:v>candidate:layered/L1_action/all_actions.json + L2_node/all_nodes.json</x:v>
      </x:c>
    </x:row>
    <x:row r="51" ht="34.5" customHeight="1">
      <x:c r="A51" s="19" t="str">
        <x:v>read_fc04_reg003a_expected.r_u16_value</x:v>
      </x:c>
      <x:c r="B51" s="19" t="str">
        <x:v>modbus_read_cache</x:v>
      </x:c>
      <x:c r="C51" s="19" t="str">
        <x:v>[]</x:v>
      </x:c>
      <x:c r="D51" s="19" t="str">
        <x:v>04 00 3A 00 01</x:v>
      </x:c>
      <x:c r="E51" s="19" t="str">
        <x:v>{"start_byte":2,"length":2,"endian":"big","type":"uint16"}</x:v>
      </x:c>
      <x:c r="F51" s="19" t="str">
        <x:v>04 02 00 01</x:v>
      </x:c>
      <x:c r="G51" s="19" t="str">
        <x:v>read_fc04_reg003a_expected.r_b_poll_ready</x:v>
      </x:c>
      <x:c r="H51" s="19" t="str">
        <x:v>{"type":"compare","condition":"eq","value":1}</x:v>
      </x:c>
      <x:c r="I51" s="19" t="str">
        <x:v>3000</x:v>
      </x:c>
      <x:c r="J51" s="19" t="str">
        <x:v>candidate:layered/L1_action/all_actions.json + L2_node/all_nodes.json</x:v>
      </x:c>
    </x:row>
    <x:row r="52" ht="34.5" customHeight="1">
      <x:c r="A52" s="15" t="str">
        <x:v>read_fc04_reg003b_expected.r_u16_value</x:v>
      </x:c>
      <x:c r="B52" s="15" t="str">
        <x:v>modbus_read_cache</x:v>
      </x:c>
      <x:c r="C52" s="15" t="str">
        <x:v>[]</x:v>
      </x:c>
      <x:c r="D52" s="15" t="str">
        <x:v>04 00 3B 00 01</x:v>
      </x:c>
      <x:c r="E52" s="15" t="str">
        <x:v>{"start_byte":2,"length":2,"endian":"big","type":"uint16"}</x:v>
      </x:c>
      <x:c r="F52" s="15" t="str">
        <x:v>04 02 00 01</x:v>
      </x:c>
      <x:c r="G52" s="15" t="str">
        <x:v>read_fc04_reg003b_expected.r_b_poll_ready</x:v>
      </x:c>
      <x:c r="H52" s="15" t="str">
        <x:v>{"type":"compare","condition":"eq","value":1}</x:v>
      </x:c>
      <x:c r="I52" s="15" t="str">
        <x:v>3000</x:v>
      </x:c>
      <x:c r="J52" s="15" t="str">
        <x:v>candidate:layered/L1_action/all_actions.json + L2_node/all_nodes.json</x:v>
      </x:c>
    </x:row>
    <x:row r="53" ht="34.5" customHeight="1">
      <x:c r="A53" s="19" t="str">
        <x:v>read_fc04_reg0038.r_u16_value</x:v>
      </x:c>
      <x:c r="B53" s="19" t="str">
        <x:v>modbus_read_cache</x:v>
      </x:c>
      <x:c r="C53" s="19" t="str">
        <x:v>[]</x:v>
      </x:c>
      <x:c r="D53" s="19" t="str">
        <x:v>04 00 38 00 01</x:v>
      </x:c>
      <x:c r="E53" s="19" t="str">
        <x:v>{"start_byte":2,"length":2,"endian":"big","type":"uint16"}</x:v>
      </x:c>
      <x:c r="F53" s="19" t="str"/>
      <x:c r="G53" s="19" t="str">
        <x:v>read_fc04_reg0038.r_u16_value</x:v>
      </x:c>
      <x:c r="H53" s="19" t="str">
        <x:v>{}</x:v>
      </x:c>
      <x:c r="I53" s="19" t="str">
        <x:v>3000</x:v>
      </x:c>
      <x:c r="J53" s="19" t="str">
        <x:v>candidate:layered/L1_action/all_actions.json + L2_node/all_nodes.json</x:v>
      </x:c>
    </x:row>
    <x:row r="54" ht="34.5" customHeight="1">
      <x:c r="A54" s="15" t="str">
        <x:v>read_fc04_reg0039.r_u16_value</x:v>
      </x:c>
      <x:c r="B54" s="15" t="str">
        <x:v>modbus_read_cache</x:v>
      </x:c>
      <x:c r="C54" s="15" t="str">
        <x:v>[]</x:v>
      </x:c>
      <x:c r="D54" s="15" t="str">
        <x:v>04 00 39 00 01</x:v>
      </x:c>
      <x:c r="E54" s="15" t="str">
        <x:v>{"start_byte":2,"length":2,"endian":"big","type":"uint16"}</x:v>
      </x:c>
      <x:c r="F54" s="15" t="str"/>
      <x:c r="G54" s="15" t="str">
        <x:v>read_fc04_reg0039.r_u16_value</x:v>
      </x:c>
      <x:c r="H54" s="15" t="str">
        <x:v>{}</x:v>
      </x:c>
      <x:c r="I54" s="15" t="str">
        <x:v>3000</x:v>
      </x:c>
      <x:c r="J54" s="15" t="str">
        <x:v>candidate:layered/L1_action/all_actions.json + L2_node/all_nodes.json</x:v>
      </x:c>
    </x:row>
    <x:row r="55" ht="34.5" customHeight="1">
      <x:c r="A55" s="19" t="str">
        <x:v>read_fc04_reg003a.r_u16_value</x:v>
      </x:c>
      <x:c r="B55" s="19" t="str">
        <x:v>modbus_read_cache</x:v>
      </x:c>
      <x:c r="C55" s="19" t="str">
        <x:v>[]</x:v>
      </x:c>
      <x:c r="D55" s="19" t="str">
        <x:v>04 00 3A 00 01</x:v>
      </x:c>
      <x:c r="E55" s="19" t="str">
        <x:v>{"start_byte":2,"length":2,"endian":"big","type":"uint16"}</x:v>
      </x:c>
      <x:c r="F55" s="19" t="str"/>
      <x:c r="G55" s="19" t="str">
        <x:v>read_fc04_reg003a.r_u16_value</x:v>
      </x:c>
      <x:c r="H55" s="19" t="str">
        <x:v>{}</x:v>
      </x:c>
      <x:c r="I55" s="19" t="str">
        <x:v>3000</x:v>
      </x:c>
      <x:c r="J55" s="19" t="str">
        <x:v>candidate:layered/L1_action/all_actions.json + L2_node/all_nodes.json</x:v>
      </x:c>
    </x:row>
    <x:row r="56" ht="34.5" customHeight="1">
      <x:c r="A56" s="15" t="str">
        <x:v>read_fc04_reg003b.r_u16_value</x:v>
      </x:c>
      <x:c r="B56" s="15" t="str">
        <x:v>modbus_read_cache</x:v>
      </x:c>
      <x:c r="C56" s="15" t="str">
        <x:v>[]</x:v>
      </x:c>
      <x:c r="D56" s="15" t="str">
        <x:v>04 00 3B 00 01</x:v>
      </x:c>
      <x:c r="E56" s="15" t="str">
        <x:v>{"start_byte":2,"length":2,"endian":"big","type":"uint16"}</x:v>
      </x:c>
      <x:c r="F56" s="15" t="str"/>
      <x:c r="G56" s="15" t="str">
        <x:v>read_fc04_reg003b.r_u16_value</x:v>
      </x:c>
      <x:c r="H56" s="15" t="str">
        <x:v>{}</x:v>
      </x:c>
      <x:c r="I56" s="15" t="str">
        <x:v>3000</x:v>
      </x:c>
      <x:c r="J56" s="15" t="str">
        <x:v>candidate:layered/L1_action/all_actions.json + L2_node/all_nodes.json</x:v>
      </x:c>
    </x:row>
    <x:row r="57" ht="34.5" customHeight="1">
      <x:c r="A57" s="19" t="str">
        <x:v>read_fc03_reg0030_le.r_f_value</x:v>
      </x:c>
      <x:c r="B57" s="19" t="str">
        <x:v>modbus_read_cache</x:v>
      </x:c>
      <x:c r="C57" s="19" t="str">
        <x:v>[]</x:v>
      </x:c>
      <x:c r="D57" s="19" t="str">
        <x:v>03 00 30 00 02</x:v>
      </x:c>
      <x:c r="E57" s="19" t="str">
        <x:v>{"start_byte":2,"length":4,"endian":"little","type":"float"}</x:v>
      </x:c>
      <x:c r="F57" s="19" t="str"/>
      <x:c r="G57" s="19" t="str">
        <x:v>read_fc03_reg0030_le_torque_low.r_b_check_ok; read_fc03_reg0030_le.r_f_value</x:v>
      </x:c>
      <x:c r="H57" s="19" t="str">
        <x:v>{"type":"compare","condition":"ge","value":2.0}; {}</x:v>
      </x:c>
      <x:c r="I57" s="19" t="str">
        <x:v>3000; 3000</x:v>
      </x:c>
      <x:c r="J57" s="19" t="str">
        <x:v>candidate:layered/L1_action/all_actions.json + L2_node/all_nodes.json</x:v>
      </x:c>
    </x:row>
    <x:row r="58" ht="34.5" customHeight="1">
      <x:c r="A58" s="15" t="str">
        <x:v>read_fc04_reg0046_expected.r_u16_value</x:v>
      </x:c>
      <x:c r="B58" s="15" t="str">
        <x:v>modbus_read_cache</x:v>
      </x:c>
      <x:c r="C58" s="15" t="str">
        <x:v>[]</x:v>
      </x:c>
      <x:c r="D58" s="15" t="str">
        <x:v>04 00 46 00 01</x:v>
      </x:c>
      <x:c r="E58" s="15" t="str">
        <x:v>{"start_byte":2,"length":2,"endian":"big","type":"uint16"}</x:v>
      </x:c>
      <x:c r="F58" s="15" t="str">
        <x:v>04 02 00 01</x:v>
      </x:c>
      <x:c r="G58" s="15" t="str">
        <x:v>read_fc04_reg0046_expected.r_b_poll_ready</x:v>
      </x:c>
      <x:c r="H58" s="15" t="str">
        <x:v>{"type":"compare","condition":"eq","value":1}</x:v>
      </x:c>
      <x:c r="I58" s="15" t="str">
        <x:v>3000</x:v>
      </x:c>
      <x:c r="J58" s="15" t="str">
        <x:v>candidate:layered/L1_action/all_actions.json + L2_node/all_nodes.json</x:v>
      </x:c>
    </x:row>
    <x:row r="59" ht="34.5" customHeight="1">
      <x:c r="A59" s="19" t="str">
        <x:v>read_fc04_reg0047_expected.r_u16_value</x:v>
      </x:c>
      <x:c r="B59" s="19" t="str">
        <x:v>modbus_read_cache</x:v>
      </x:c>
      <x:c r="C59" s="19" t="str">
        <x:v>[]</x:v>
      </x:c>
      <x:c r="D59" s="19" t="str">
        <x:v>04 00 47 00 01</x:v>
      </x:c>
      <x:c r="E59" s="19" t="str">
        <x:v>{"start_byte":2,"length":2,"endian":"big","type":"uint16"}</x:v>
      </x:c>
      <x:c r="F59" s="19" t="str">
        <x:v>04 02 00 01</x:v>
      </x:c>
      <x:c r="G59" s="19" t="str">
        <x:v>read_fc04_reg0047_expected.r_b_poll_ready</x:v>
      </x:c>
      <x:c r="H59" s="19" t="str">
        <x:v>{"type":"compare","condition":"eq","value":1}</x:v>
      </x:c>
      <x:c r="I59" s="19" t="str">
        <x:v>3000</x:v>
      </x:c>
      <x:c r="J59" s="19" t="str">
        <x:v>candidate:layered/L1_action/all_actions.json + L2_node/all_nodes.json</x:v>
      </x:c>
    </x:row>
    <x:row r="60" ht="34.5" customHeight="1">
      <x:c r="A60" s="15" t="str">
        <x:v>read_fc04_reg0040_expected.r_u16_value</x:v>
      </x:c>
      <x:c r="B60" s="15" t="str">
        <x:v>modbus_read_cache</x:v>
      </x:c>
      <x:c r="C60" s="15" t="str">
        <x:v>[]</x:v>
      </x:c>
      <x:c r="D60" s="15" t="str">
        <x:v>04 00 40 00 01</x:v>
      </x:c>
      <x:c r="E60" s="15" t="str">
        <x:v>{"start_byte":2,"length":2,"endian":"big","type":"uint16"}</x:v>
      </x:c>
      <x:c r="F60" s="15" t="str">
        <x:v>04 02 00 01</x:v>
      </x:c>
      <x:c r="G60" s="15" t="str">
        <x:v>read_fc04_reg0040_expected.r_b_poll_ready</x:v>
      </x:c>
      <x:c r="H60" s="15" t="str">
        <x:v>{"type":"compare","condition":"eq","value":1}</x:v>
      </x:c>
      <x:c r="I60" s="15" t="str">
        <x:v>3000</x:v>
      </x:c>
      <x:c r="J60" s="15" t="str">
        <x:v>candidate:layered/L1_action/all_actions.json + L2_node/all_nodes.json</x:v>
      </x:c>
    </x:row>
    <x:row r="61" ht="34.5" customHeight="1">
      <x:c r="A61" s="19" t="str">
        <x:v>increment.i32.r_i32_count</x:v>
      </x:c>
      <x:c r="B61" s="19" t="str">
        <x:v>calculate</x:v>
      </x:c>
      <x:c r="C61" s="19" t="str">
        <x:v>[{"index":0,"name":"value","type":"i32"}]</x:v>
      </x:c>
      <x:c r="D61" s="19" t="str"/>
      <x:c r="E61" s="19" t="str">
        <x:v>${param_0} + 1</x:v>
      </x:c>
      <x:c r="F61" s="19" t="str"/>
      <x:c r="G61" s="19" t="str">
        <x:v>increment.i32.r_i32_completed</x:v>
      </x:c>
      <x:c r="H61" s="19" t="str">
        <x:v>{}</x:v>
      </x:c>
      <x:c r="I61" s="19" t="str">
        <x:v>3000</x:v>
      </x:c>
      <x:c r="J61" s="19" t="str">
        <x:v>candidate:layered/L1_action/all_actions.json + L2_node/all_nodes.json</x:v>
      </x:c>
    </x:row>
  </x:sheetData>
  <x:pageMargins left="0.7" right="0.7" top="0.75" bottom="0.75" header="0.3" footer="0.3"/>
  <x:tableParts count="1">
    <x:tablePart xmlns:r="http://schemas.openxmlformats.org/officeDocument/2006/relationships" r:id="Rae8104f8438448f6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8.75" hidden="0" customWidth="1"/>
    <x:col min="2" max="2" width="63.75" hidden="0" customWidth="1"/>
    <x:col min="3" max="3" width="13.75" hidden="0" customWidth="1"/>
    <x:col min="4" max="4" width="52.5" hidden="0" customWidth="1"/>
    <x:col min="5" max="5" width="83.75" hidden="0" customWidth="1"/>
    <x:col min="6" max="6" width="58.75" hidden="0" customWidth="1"/>
  </x:cols>
  <x:sheetData>
    <x:row r="1" ht="21" customHeight="1">
      <x:c r="A1" s="2"/>
      <x:c r="B1" s="2"/>
      <x:c r="C1" s="2"/>
      <x:c r="D1" s="2"/>
      <x:c r="E1" s="2"/>
      <x:c r="F1" s="2"/>
    </x:row>
    <x:row r="2" ht="25.5" customHeight="1">
      <x:c r="A2" s="4" t="str">
        <x:v>20个L3共享过程的接口与组合规则</x:v>
      </x:c>
      <x:c r="B2" s="5"/>
      <x:c r="C2" s="5"/>
      <x:c r="D2" s="5"/>
      <x:c r="E2" s="5"/>
      <x:c r="F2" s="5"/>
    </x:row>
    <x:row r="3" ht="21" customHeight="1">
      <x:c r="A3" s="6" t="str">
        <x:v>L4只传[口味,规格]；支持的新增规格上限由1改2。完整组体已随机器JSON发布。</x:v>
      </x:c>
      <x:c r="B3" s="2"/>
      <x:c r="C3" s="2"/>
      <x:c r="D3" s="2"/>
      <x:c r="E3" s="2"/>
      <x:c r="F3" s="2"/>
    </x:row>
    <x:row r="4" ht="21" customHeight="1">
      <x:c r="A4" s="2"/>
      <x:c r="B4" s="2"/>
      <x:c r="C4" s="2"/>
      <x:c r="D4" s="2"/>
      <x:c r="E4" s="2"/>
      <x:c r="F4" s="2"/>
    </x:row>
    <x:row r="5" ht="31.5" customHeight="1">
      <x:c r="A5" s="11" t="str">
        <x:v>L3文件</x:v>
      </x:c>
      <x:c r="B5" s="12" t="str">
        <x:v>参数契约</x:v>
      </x:c>
      <x:c r="C5" s="12" t="str">
        <x:v>模式</x:v>
      </x:c>
      <x:c r="D5" s="12" t="str">
        <x:v>循环条件</x:v>
      </x:c>
      <x:c r="E5" s="12" t="str">
        <x:v>作用/顺序</x:v>
      </x:c>
      <x:c r="F5" s="13" t="str">
        <x:v>来源</x:v>
      </x:c>
    </x:row>
    <x:row r="6" ht="34.5" customHeight="1">
      <x:c r="A6" s="15" t="str">
        <x:v>move_axis_if_changed.group.json</x:v>
      </x:c>
      <x:c r="B6" s="15" t="str">
        <x:v>[{"index":0,"name":"axis_state","type":"s"},{"index":1,"name":"axis_pr","type":"u16"},{"index":2,"name":"axis_devices","type":"arr"}]</x:v>
      </x:c>
      <x:c r="C6" s="15" t="str">
        <x:v>sequence</x:v>
      </x:c>
      <x:c r="D6" s="15" t="str"/>
      <x:c r="E6" s="15" t="str">
        <x:v>读last轴PR；变化才按axis_devices依次触发；缓存新PR</x:v>
      </x:c>
      <x:c r="F6" s="15" t="str">
        <x:v>candidate:layered/L3_group/move_axis_if_changed.group.json</x:v>
      </x:c>
    </x:row>
    <x:row r="7" ht="22.5" customHeight="1">
      <x:c r="A7" s="19" t="str">
        <x:v>move_production_point.group.json</x:v>
      </x:c>
      <x:c r="B7" s="19" t="str">
        <x:v>[{"index":0,"name":"point_index","type":"u16","min":0,"max":100}]</x:v>
      </x:c>
      <x:c r="C7" s="19" t="str">
        <x:v>sequence</x:v>
      </x:c>
      <x:c r="D7" s="19" t="str"/>
      <x:c r="E7" s="19" t="str">
        <x:v>生产点→XYZ PR；只触发变化轴；四电机就绪；刷新坐标</x:v>
      </x:c>
      <x:c r="F7" s="19" t="str">
        <x:v>candidate:layered/L3_group/move_production_point.group.json</x:v>
      </x:c>
    </x:row>
    <x:row r="8" ht="72.75" customHeight="1">
      <x:c r="A8" s="15" t="str">
        <x:v>poll_sensor_until_ready.group.json</x:v>
      </x:c>
      <x:c r="B8" s="15" t="str">
        <x:v>[{"index":0,"name":"poll_node","type":"s"},{"index":1,"name":"poll_device","type":"s"},{"index":2,"name":"poll_interval_ms","type":"u32"},{"index":3,"name":"poll_timeout_ms","type":"u32"},{"index":4,"name":"poll_max_iterations","type":"u32"},{"index":5,"name":"poll_error_code","type":"s"},{"index":6,"name":"poll_error_message","type":"s"}]</x:v>
      </x:c>
      <x:c r="C8" s="15" t="str">
        <x:v>loop</x:v>
      </x:c>
      <x:c r="D8" s="15" t="str">
        <x:v>{"type":"do-while","condition":"${poll_ready} != true","timeout_ms":"${poll_timeout_ms}","max_iterations":"${poll_max_iterations}"}</x:v>
      </x:c>
      <x:c r="E8" s="15" t="str">
        <x:v>do-while先读再判断；未就绪才等待；截止/迭代保护</x:v>
      </x:c>
      <x:c r="F8" s="15" t="str">
        <x:v>candidate:layered/L3_group/poll_sensor_until_ready.group.json</x:v>
      </x:c>
    </x:row>
    <x:row r="9" ht="22.5" customHeight="1">
      <x:c r="A9" s="19" t="str">
        <x:v>produce_batch.group.json</x:v>
      </x:c>
      <x:c r="B9" s="19" t="str">
        <x:v>[]</x:v>
      </x:c>
      <x:c r="C9" s="19" t="str">
        <x:v>loop</x:v>
      </x:c>
      <x:c r="D9" s="19" t="str">
        <x:v>{"type":"count","count":6}</x:v>
      </x:c>
      <x:c r="E9" s="19" t="str">
        <x:v>固定六次produce_one_container</x:v>
      </x:c>
      <x:c r="F9" s="19" t="str">
        <x:v>candidate:layered/L3_group/produce_batch.group.json</x:v>
      </x:c>
    </x:row>
    <x:row r="10" ht="22.5" customHeight="1">
      <x:c r="A10" s="15" t="str">
        <x:v>produce_one_container.group.json</x:v>
      </x:c>
      <x:c r="B10" s="15" t="str">
        <x:v>[]</x:v>
      </x:c>
      <x:c r="C10" s="15" t="str">
        <x:v>sequence</x:v>
      </x:c>
      <x:c r="D10" s="15" t="str"/>
      <x:c r="E10" s="15" t="str">
        <x:v>按顺序复用02–10九个工序</x:v>
      </x:c>
      <x:c r="F10" s="15" t="str">
        <x:v>candidate:layered/L3_group/produce_one_container.group.json</x:v>
      </x:c>
    </x:row>
    <x:row r="11" ht="22.5" customHeight="1">
      <x:c r="A11" s="19" t="str">
        <x:v>refresh_position.group.json</x:v>
      </x:c>
      <x:c r="B11" s="19" t="str">
        <x:v>[]</x:v>
      </x:c>
      <x:c r="C11" s="19" t="str">
        <x:v>sequence</x:v>
      </x:c>
      <x:c r="D11" s="19" t="str"/>
      <x:c r="E11" s="19" t="str">
        <x:v>读X/Y1/Y2/Z 0x602C；界面Y采用Y1</x:v>
      </x:c>
      <x:c r="F11" s="19" t="str">
        <x:v>candidate:layered/L3_group/refresh_position.group.json</x:v>
      </x:c>
    </x:row>
    <x:row r="12" ht="34.5" customHeight="1">
      <x:c r="A12" s="15" t="str">
        <x:v>run_recipe.group.json</x:v>
      </x:c>
      <x:c r="B12" s="15" t="str">
        <x:v>[{"index":0,"name":"flavor","type":"u16","min":0,"max":2},{"index":1,"name":"specification","type":"u16","min":0,"max":2}]</x:v>
      </x:c>
      <x:c r="C12" s="15" t="str">
        <x:v>sequence</x:v>
      </x:c>
      <x:c r="D12" s="15" t="str"/>
      <x:c r="E12" s="15" t="str">
        <x:v>双参数选择配方；初始化；固定两批；CIP；待机</x:v>
      </x:c>
      <x:c r="F12" s="15" t="str">
        <x:v>candidate:layered/L3_group/run_recipe.group.json</x:v>
      </x:c>
    </x:row>
    <x:row r="13" ht="34.5" customHeight="1">
      <x:c r="A13" s="19" t="str">
        <x:v>step_01_system_initialization.group.json</x:v>
      </x:c>
      <x:c r="B13" s="19" t="str">
        <x:v>[]</x:v>
      </x:c>
      <x:c r="C13" s="19" t="str">
        <x:v>sequence</x:v>
      </x:c>
      <x:c r="D13" s="19" t="str"/>
      <x:c r="E13" s="19" t="str">
        <x:v>关闭三个灌装头、夹爪、供盖器、冲洗阀、CIP阀/排水阀及Relay 0x0008–0x000E；四定位电机PR0；轮询完成；保存last_*_pr=0；读坐标并更新UI；报警检查；缓存运行状态；稳定1秒。</x:v>
      </x:c>
      <x:c r="F13" s="19" t="str">
        <x:v>candidate:layered/L3_group/step_01_system_initialization.group.json</x:v>
      </x:c>
    </x:row>
    <x:row r="14" ht="34.5" customHeight="1">
      <x:c r="A14" s="15" t="str">
        <x:v>step_02_empty_bottle_feeding.group.json</x:v>
      </x:c>
      <x:c r="B14" s="15" t="str">
        <x:v>[]</x:v>
      </x:c>
      <x:c r="C14" s="15" t="str">
        <x:v>sequence</x:v>
      </x:c>
      <x:c r="D14" s="15" t="str"/>
      <x:c r="E14" s="15" t="str">
        <x:v>Relay推瓶输出0x0008开；Infeed PR=infeed_pr；完成后确认上料BottleSensor 0x0034；关推瓶；先入空瓶entry再work；Gripper线圈0x0000开；确认抓取0x0041。</x:v>
      </x:c>
      <x:c r="F14" s="15" t="str">
        <x:v>candidate:layered/L3_group/step_02_empty_bottle_feeding.group.json</x:v>
      </x:c>
    </x:row>
    <x:row r="15" ht="34.5" customHeight="1">
      <x:c r="A15" s="19" t="str">
        <x:v>step_03_bottle_position_detection.group.json</x:v>
      </x:c>
      <x:c r="B15" s="19" t="str">
        <x:v>[]</x:v>
      </x:c>
      <x:c r="C15" s="19" t="str">
        <x:v>sequence</x:v>
      </x:c>
      <x:c r="D15" s="19" t="str"/>
      <x:c r="E15" s="19" t="str">
        <x:v>确认ContainerSensor FC04 0x0001；逐路确认BottleSensor 0x0034–0x0037并缓存；读取累计产量FlowMeter0x0020；UI BottleState=all ready。</x:v>
      </x:c>
      <x:c r="F15" s="19" t="str">
        <x:v>candidate:layered/L3_group/step_03_bottle_position_detection.group.json</x:v>
      </x:c>
    </x:row>
    <x:row r="16" ht="34.5" customHeight="1">
      <x:c r="A16" s="15" t="str">
        <x:v>step_04_in_bottle_rinsing.group.json</x:v>
      </x:c>
      <x:c r="B16" s="15" t="str">
        <x:v>[]</x:v>
      </x:c>
      <x:c r="C16" s="15" t="str">
        <x:v>sequence</x:v>
      </x:c>
      <x:c r="D16" s="15" t="str"/>
      <x:c r="E16" s="15" t="str">
        <x:v>抬升到空瓶entry；转冲洗entry再下降work；冲洗阀0x0012开5s后关；压力检查0x0010&gt;=0.2MPa；消毒阀CIP0x0013开3s后关；排水阀CIP0x0014开3s后关；UI WashState=done；抬升至rinse_entry。</x:v>
      </x:c>
      <x:c r="F16" s="15" t="str">
        <x:v>candidate:layered/L3_group/step_04_in_bottle_rinsing.group.json</x:v>
      </x:c>
    </x:row>
    <x:row r="17" ht="22.5" customHeight="1">
      <x:c r="A17" s="19" t="str">
        <x:v>step_05_filling_positioning.group.json</x:v>
      </x:c>
      <x:c r="B17" s="19" t="str">
        <x:v>[]</x:v>
      </x:c>
      <x:c r="C17" s="19" t="str">
        <x:v>sequence</x:v>
      </x:c>
      <x:c r="D17" s="19" t="str"/>
      <x:c r="E17" s="19" t="str">
        <x:v>先到选定口味灌装entry再work；BottleSensor0x0042–0x0045逐路检查到位。</x:v>
      </x:c>
      <x:c r="F17" s="19" t="str">
        <x:v>candidate:layered/L3_group/step_05_filling_positioning.group.json</x:v>
      </x:c>
    </x:row>
    <x:row r="18" ht="47.25" customHeight="1">
      <x:c r="A18" s="15" t="str">
        <x:v>step_06_filling.group.json</x:v>
      </x:c>
      <x:c r="B18" s="15" t="str">
        <x:v>[]</x:v>
      </x:c>
      <x:c r="C18" s="15" t="str">
        <x:v>sequence</x:v>
      </x:c>
      <x:c r="D18" s="15" t="str"/>
      <x:c r="E18" s="15" t="str">
        <x:v>清FlowMeter0x0001；给fill_device写容量0x0010及灌装时间0x0011；开灌装头线圈0x0000；等待完成；检查FlowMeter0x0000&gt;=volume_ml；确认液位0x0038；关灌装头；4次PressureSensor0x0012&gt;=0.1MPa；缓存流量及头部0x0012实灌量；更新UI。</x:v>
      </x:c>
      <x:c r="F18" s="15" t="str">
        <x:v>candidate:layered/L3_group/step_06_filling.group.json</x:v>
      </x:c>
    </x:row>
    <x:row r="19" ht="22.5" customHeight="1">
      <x:c r="A19" s="19" t="str">
        <x:v>step_07_level_recheck.group.json</x:v>
      </x:c>
      <x:c r="B19" s="19" t="str">
        <x:v>[]</x:v>
      </x:c>
      <x:c r="C19" s="19" t="str">
        <x:v>sequence</x:v>
      </x:c>
      <x:c r="D19" s="19" t="str"/>
      <x:c r="E19" s="19" t="str">
        <x:v>独立轮询LevelSensor0x0038/39/3A/3B并缓存lv1–lv4；CheckState=qualified。</x:v>
      </x:c>
      <x:c r="F19" s="19" t="str">
        <x:v>candidate:layered/L3_group/step_07_level_recheck.group.json</x:v>
      </x:c>
    </x:row>
    <x:row r="20" ht="34.5" customHeight="1">
      <x:c r="A20" s="15" t="str">
        <x:v>step_08_capping.group.json</x:v>
      </x:c>
      <x:c r="B20" s="15" t="str">
        <x:v>[]</x:v>
      </x:c>
      <x:c r="C20" s="15" t="str">
        <x:v>sequence</x:v>
      </x:c>
      <x:c r="D20" s="15" t="str"/>
      <x:c r="E20" s="15" t="str">
        <x:v>抬升离开灌装；去封口entry/work；CapFeeder开；Closure按closure_pr触发；等待完成；Relay0x000B封口输出开3s；读Torque0x0030&gt;=2.0N·m；关封口输出；BottleSensor0x0046盖到位；缓存扭矩；CapFeeder关；抬升。</x:v>
      </x:c>
      <x:c r="F20" s="15" t="str">
        <x:v>candidate:layered/L3_group/step_08_capping.group.json</x:v>
      </x:c>
    </x:row>
    <x:row r="21" ht="34.5" customHeight="1">
      <x:c r="A21" s="19" t="str">
        <x:v>step_09_coding_labeling.group.json</x:v>
      </x:c>
      <x:c r="B21" s="19" t="str">
        <x:v>[]</x:v>
      </x:c>
      <x:c r="C21" s="19" t="str">
        <x:v>sequence</x:v>
      </x:c>
      <x:c r="D21" s="19" t="str"/>
      <x:c r="E21" s="19" t="str">
        <x:v>进喷码entry/work；Relay0x000C喷码开/关；0x000D贴标开/关；BottleSensor0x0047完成确认；UI CodeState=done；抬升。</x:v>
      </x:c>
      <x:c r="F21" s="19" t="str">
        <x:v>candidate:layered/L3_group/step_09_coding_labeling.group.json</x:v>
      </x:c>
    </x:row>
    <x:row r="22" ht="34.5" customHeight="1">
      <x:c r="A22" s="15" t="str">
        <x:v>step_10_finished_product_discharge.group.json</x:v>
      </x:c>
      <x:c r="B22" s="15" t="str">
        <x:v>[]</x:v>
      </x:c>
      <x:c r="C22" s="15" t="str">
        <x:v>sequence</x:v>
      </x:c>
      <x:c r="D22" s="15" t="str"/>
      <x:c r="E22" s="15" t="str">
        <x:v>进入成品entry/work；Gripper关以松夹；Relay推瓶0x0008开；Outfeed PR=outfeed_pr；完成并确认BottleSensor0x0040；缓存累计产量；关推瓶；抬升；completed加1并更新UI。</x:v>
      </x:c>
      <x:c r="F22" s="15" t="str">
        <x:v>candidate:layered/L3_group/step_10_finished_product_discharge.group.json</x:v>
      </x:c>
    </x:row>
    <x:row r="23" ht="34.5" customHeight="1">
      <x:c r="A23" s="19" t="str">
        <x:v>step_11_cip_cleaning_sanitizing.group.json</x:v>
      </x:c>
      <x:c r="B23" s="19" t="str">
        <x:v>[]</x:v>
      </x:c>
      <x:c r="C23" s="19" t="str">
        <x:v>sequence</x:v>
      </x:c>
      <x:c r="D23" s="19" t="str"/>
      <x:c r="E23" s="19" t="str">
        <x:v>CIP0x0013开，Relay泵0x000E开；循环120s；压力0x0010&gt;=0.3MPa；CIP排水0x0014开30s后关；停泵；冲洗阀0x0012开20s后关；关CIP0x0013；UI CIPState=done。</x:v>
      </x:c>
      <x:c r="F23" s="19" t="str">
        <x:v>candidate:layered/L3_group/step_11_cip_cleaning_sanitizing.group.json</x:v>
      </x:c>
    </x:row>
    <x:row r="24" ht="22.5" customHeight="1">
      <x:c r="A24" s="15" t="str">
        <x:v>step_12_homing_standby.group.json</x:v>
      </x:c>
      <x:c r="B24" s="15" t="str">
        <x:v>[]</x:v>
      </x:c>
      <x:c r="C24" s="15" t="str">
        <x:v>sequence</x:v>
      </x:c>
      <x:c r="D24" s="15" t="str"/>
      <x:c r="E24" s="15" t="str">
        <x:v>重复复位所有输出；四轴显式PR0并等待完成；记录last_*_pr=0；刷新位置UI；四轴报警检查；SystemState=standby。</x:v>
      </x:c>
      <x:c r="F24" s="15" t="str">
        <x:v>candidate:layered/L3_group/step_12_homing_standby.group.json</x:v>
      </x:c>
    </x:row>
    <x:row r="25" ht="34.5" customHeight="1">
      <x:c r="A25" s="19" t="str">
        <x:v>trigger_motor.group.json</x:v>
      </x:c>
      <x:c r="B25" s="19" t="str">
        <x:v>[{"index":0,"name":"motor_device","type":"s"},{"index":1,"name":"motor_pr","type":"u16"}]</x:v>
      </x:c>
      <x:c r="C25" s="19" t="str">
        <x:v>sequence</x:v>
      </x:c>
      <x:c r="D25" s="19" t="str"/>
      <x:c r="E25" s="19" t="str">
        <x:v>PR 0–15编码为16+PR；写指定device的0x6002</x:v>
      </x:c>
      <x:c r="F25" s="19" t="str">
        <x:v>candidate:layered/L3_group/trigger_motor.group.json</x:v>
      </x:c>
    </x:row>
  </x:sheetData>
  <x:pageMargins left="0.7" right="0.7" top="0.75" bottom="0.75" header="0.3" footer="0.3"/>
  <x:tableParts count="1">
    <x:tablePart xmlns:r="http://schemas.openxmlformats.org/officeDocument/2006/relationships" r:id="Rf02c87fc7b5a4698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5" hidden="0" customWidth="1"/>
    <x:col min="2" max="2" width="23.1299991607666" hidden="0" customWidth="1"/>
    <x:col min="3" max="3" width="68.75" hidden="0" customWidth="1"/>
    <x:col min="4" max="4" width="43.75" hidden="0" customWidth="1"/>
    <x:col min="5" max="5" width="52.5" hidden="0" customWidth="1"/>
    <x:col min="6" max="6" width="61.25" hidden="0" customWidth="1"/>
    <x:col min="7" max="7" width="57.5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</x:row>
    <x:row r="2" ht="25.5" customHeight="1">
      <x:c r="A2" s="4" t="str">
        <x:v>工序成功条件、11项已验证故障及边界</x:v>
      </x:c>
      <x:c r="B2" s="5"/>
      <x:c r="C2" s="5"/>
      <x:c r="D2" s="5"/>
      <x:c r="E2" s="5"/>
      <x:c r="F2" s="5"/>
      <x:c r="G2" s="5"/>
    </x:row>
    <x:row r="3" ht="21" customHeight="1">
      <x:c r="A3" s="6" t="str">
        <x:v>11项故障均在原有orange_family（2L）配方执行，不是每个250mL配方各11项。工序错误码列表更广，并非每个错误码都有独立注入测试。</x:v>
      </x:c>
      <x:c r="B3" s="2"/>
      <x:c r="C3" s="2"/>
      <x:c r="D3" s="2"/>
      <x:c r="E3" s="2"/>
      <x:c r="F3" s="2"/>
      <x:c r="G3" s="2"/>
    </x:row>
    <x:row r="4" ht="21" customHeight="1">
      <x:c r="A4" s="2"/>
      <x:c r="B4" s="2"/>
      <x:c r="C4" s="2"/>
      <x:c r="D4" s="2"/>
      <x:c r="E4" s="2"/>
      <x:c r="F4" s="2"/>
      <x:c r="G4" s="2"/>
    </x:row>
    <x:row r="5" ht="31.5" customHeight="1">
      <x:c r="A5" s="11" t="str">
        <x:v>类别/阶段</x:v>
      </x:c>
      <x:c r="B5" s="12" t="str">
        <x:v>检查对象</x:v>
      </x:c>
      <x:c r="C5" s="12" t="str">
        <x:v>成功/预期结果</x:v>
      </x:c>
      <x:c r="D5" s="12" t="str">
        <x:v>时间要求</x:v>
      </x:c>
      <x:c r="E5" s="12" t="str">
        <x:v>错误码</x:v>
      </x:c>
      <x:c r="F5" s="12" t="str">
        <x:v>处置/边界</x:v>
      </x:c>
      <x:c r="G5" s="13" t="str">
        <x:v>来源</x:v>
      </x:c>
    </x:row>
    <x:row r="6" ht="34.5" customHeight="1">
      <x:c r="A6" s="15" t="str">
        <x:v>01</x:v>
      </x:c>
      <x:c r="B6" s="15" t="str">
        <x:v>初始化</x:v>
      </x:c>
      <x:c r="C6" s="15" t="str">
        <x:v>四轴完成位=1，报警寄存器0x2203均为0</x:v>
      </x:c>
      <x:c r="D6" s="15" t="str">
        <x:v>四轴完成轮询20ms/4000ms；显式等待1000ms</x:v>
      </x:c>
      <x:c r="E6" s="15" t="str">
        <x:v>HOME_TIMEOUT；X_ALARM/Y_ALARM/Y_ALARM_Y2/Z_ALARM</x:v>
      </x:c>
      <x:c r="F6" s="15" t="str">
        <x:v>失败记录error并结束模拟场景；不表示物理安全停机或自动恢复</x:v>
      </x:c>
      <x:c r="G6" s="15" t="str">
        <x:v>candidate:layered/L3_group/step_01_system_initialization.group.json</x:v>
      </x:c>
    </x:row>
    <x:row r="7" ht="34.5" customHeight="1">
      <x:c r="A7" s="19" t="str">
        <x:v>02</x:v>
      </x:c>
      <x:c r="B7" s="19" t="str">
        <x:v>空瓶上料与夹取</x:v>
      </x:c>
      <x:c r="C7" s="19" t="str">
        <x:v>上料传感器=1且抓取传感器=1</x:v>
      </x:c>
      <x:c r="D7" s="19" t="str">
        <x:v>Infeed20ms/4000ms；上料100ms/5000ms；抓取50ms/3000ms；每次move四轴20ms/4000ms</x:v>
      </x:c>
      <x:c r="E7" s="19" t="str">
        <x:v>EMPTY_FEED_TIMEOUT；BOTTLE_SENSOR_TIMEOUT；PICK_TIMEOUT；MOTION_TIMEOUT</x:v>
      </x:c>
      <x:c r="F7" s="19" t="str">
        <x:v>失败记录error并结束模拟场景；不表示物理安全停机或自动恢复</x:v>
      </x:c>
      <x:c r="G7" s="19" t="str">
        <x:v>candidate:layered/L3_group/step_02_empty_bottle_feeding.group.json</x:v>
      </x:c>
    </x:row>
    <x:row r="8" ht="34.5" customHeight="1">
      <x:c r="A8" s="15" t="str">
        <x:v>03</x:v>
      </x:c>
      <x:c r="B8" s="15" t="str">
        <x:v>瓶位确认</x:v>
      </x:c>
      <x:c r="C8" s="15" t="str">
        <x:v>ContainerSensor及四路状态均为1</x:v>
      </x:c>
      <x:c r="D8" s="15" t="str">
        <x:v>容器20ms/2000ms；四路瓶位各50ms/3000ms</x:v>
      </x:c>
      <x:c r="E8" s="15" t="str">
        <x:v>NO_CONTAINER；POS1_TIMEOUT/POS2_TIMEOUT/POS3_TIMEOUT/POS4_TIMEOUT</x:v>
      </x:c>
      <x:c r="F8" s="15" t="str">
        <x:v>失败记录error并结束模拟场景；不表示物理安全停机或自动恢复</x:v>
      </x:c>
      <x:c r="G8" s="15" t="str">
        <x:v>candidate:layered/L3_group/step_03_bottle_position_detection.group.json</x:v>
      </x:c>
    </x:row>
    <x:row r="9" ht="34.5" customHeight="1">
      <x:c r="A9" s="19" t="str">
        <x:v>04</x:v>
      </x:c>
      <x:c r="B9" s="19" t="str">
        <x:v>瓶内冲洗</x:v>
      </x:c>
      <x:c r="C9" s="19" t="str">
        <x:v>实际开阀时长分别&gt;=5000/3000/3000ms；压力&gt;=0.2MPa；保持夹持且位于冲洗work</x:v>
      </x:c>
      <x:c r="D9" s="19" t="str">
        <x:v>显式等待5000+3000+3000ms；移动完成轮询20ms/4000ms</x:v>
      </x:c>
      <x:c r="E9" s="19" t="str">
        <x:v>RINSE_PRESSURE_LOW；MOTION_TIMEOUT；模拟模型另检RINSE_DURATION/RINSE_SEQUENCE/PROCESS_POSITION</x:v>
      </x:c>
      <x:c r="F9" s="19" t="str">
        <x:v>失败记录error并结束模拟场景；不表示物理安全停机或自动恢复</x:v>
      </x:c>
      <x:c r="G9" s="19" t="str">
        <x:v>candidate:layered/L3_group/step_04_in_bottle_rinsing.group.json</x:v>
      </x:c>
    </x:row>
    <x:row r="10" ht="34.5" customHeight="1">
      <x:c r="A10" s="15" t="str">
        <x:v>05</x:v>
      </x:c>
      <x:c r="B10" s="15" t="str">
        <x:v>灌装定位</x:v>
      </x:c>
      <x:c r="C10" s="15" t="str">
        <x:v>瓶已完成冲洗；四路灌装位置状态=1；选择配方对应灌装头</x:v>
      </x:c>
      <x:c r="D10" s="15" t="str">
        <x:v>四路各50ms/3000ms；移动20ms/4000ms</x:v>
      </x:c>
      <x:c r="E10" s="15" t="str">
        <x:v>FILL1_POS_TIMEOUT/FILL2_POS_TIMEOUT/FILL3_POS_TIMEOUT/FILL4_POS_TIMEOUT；MOTION_TIMEOUT</x:v>
      </x:c>
      <x:c r="F10" s="15" t="str">
        <x:v>失败记录error并结束模拟场景；不表示物理安全停机或自动恢复</x:v>
      </x:c>
      <x:c r="G10" s="15" t="str">
        <x:v>candidate:layered/L3_group/step_05_filling_positioning.group.json</x:v>
      </x:c>
    </x:row>
    <x:row r="11" ht="34.5" customHeight="1">
      <x:c r="A11" s="19" t="str">
        <x:v>06</x:v>
      </x:c>
      <x:c r="B11" s="19" t="str">
        <x:v>定量灌装</x:v>
      </x:c>
      <x:c r="C11" s="19" t="str">
        <x:v>配方容量250mL；灌装时长橙1250/苹果1389/葡萄1137ms；累计量&gt;=250；液位=1；4次压力&gt;=0.1MPa</x:v>
      </x:c>
      <x:c r="D11" s="19" t="str">
        <x:v>灌装完成20ms/20000ms；液位50ms/8000ms；4次压力检查无额外等待</x:v>
      </x:c>
      <x:c r="E11" s="19" t="str">
        <x:v>FILL_TIMEOUT；FLOW_NOT_REACHED；LEVEL_TIMEOUT；FILL_PRESSURE_LOW；COMM_OFFLINE</x:v>
      </x:c>
      <x:c r="F11" s="19" t="str">
        <x:v>失败记录error并结束模拟场景；不表示物理安全停机或自动恢复</x:v>
      </x:c>
      <x:c r="G11" s="19" t="str">
        <x:v>candidate:layered/L3_group/step_06_filling.group.json</x:v>
      </x:c>
    </x:row>
    <x:row r="12" ht="34.5" customHeight="1">
      <x:c r="A12" s="15" t="str">
        <x:v>07</x:v>
      </x:c>
      <x:c r="B12" s="15" t="str">
        <x:v>液位复检</x:v>
      </x:c>
      <x:c r="C12" s="15" t="str">
        <x:v>四路液位均为1，模拟器记录4路已检查才允许封口</x:v>
      </x:c>
      <x:c r="D12" s="15" t="str">
        <x:v>每路50ms/3000ms</x:v>
      </x:c>
      <x:c r="E12" s="15" t="str">
        <x:v>RECHECK1_FAIL/RECHECK2_FAIL/RECHECK3_FAIL/RECHECK4_FAIL；模型另检LEVEL_NOT_VERIFIED</x:v>
      </x:c>
      <x:c r="F12" s="15" t="str">
        <x:v>失败记录error并结束模拟场景；不表示物理安全停机或自动恢复</x:v>
      </x:c>
      <x:c r="G12" s="15" t="str">
        <x:v>candidate:layered/L3_group/step_07_level_recheck.group.json</x:v>
      </x:c>
    </x:row>
    <x:row r="13" ht="34.5" customHeight="1">
      <x:c r="A13" s="19" t="str">
        <x:v>08</x:v>
      </x:c>
      <x:c r="B13" s="19" t="str">
        <x:v>供盖与封口</x:v>
      </x:c>
      <x:c r="C13" s="19" t="str">
        <x:v>闭合状态、四路液位通过、供盖器开启；封口保持&gt;=3000ms且扭矩&gt;=2.0N·m；盖到位=1</x:v>
      </x:c>
      <x:c r="D13" s="19" t="str">
        <x:v>Closure20ms/5000ms；封口显式3000ms；盖到位50ms/3000ms</x:v>
      </x:c>
      <x:c r="E13" s="19" t="str">
        <x:v>CLOSURE_TIMEOUT；TORQUE_LOW；CAP_TIMEOUT；MOTION_TIMEOUT；模型另检CAPPING_DURATION/CLOSURE_SEQUENCE/CLOSURE_MODE</x:v>
      </x:c>
      <x:c r="F13" s="19" t="str">
        <x:v>失败记录error并结束模拟场景；不表示物理安全停机或自动恢复</x:v>
      </x:c>
      <x:c r="G13" s="19" t="str">
        <x:v>candidate:layered/L3_group/step_08_capping.group.json</x:v>
      </x:c>
    </x:row>
    <x:row r="14" ht="34.5" customHeight="1">
      <x:c r="A14" s="15" t="str">
        <x:v>09</x:v>
      </x:c>
      <x:c r="B14" s="15" t="str">
        <x:v>喷码与贴标</x:v>
      </x:c>
      <x:c r="C14" s="15" t="str">
        <x:v>瓶已封口且扭矩检查通过；喷码先于贴标；完成位=1</x:v>
      </x:c>
      <x:c r="D14" s="15" t="str">
        <x:v>无显式脉冲timer；每次模拟请求5ms使开/关脉冲约5ms；完成确认50ms/3000ms</x:v>
      </x:c>
      <x:c r="E14" s="15" t="str">
        <x:v>CODE_POS_TIMEOUT；MOTION_TIMEOUT；模型另检LABEL_SEQUENCE/LABEL_DURATION</x:v>
      </x:c>
      <x:c r="F14" s="15" t="str">
        <x:v>失败记录error并结束模拟场景；不表示物理安全停机或自动恢复</x:v>
      </x:c>
      <x:c r="G14" s="15" t="str">
        <x:v>candidate:layered/L3_group/step_09_coding_labeling.group.json</x:v>
      </x:c>
    </x:row>
    <x:row r="15" ht="34.5" customHeight="1">
      <x:c r="A15" s="19" t="str">
        <x:v>10</x:v>
      </x:c>
      <x:c r="B15" s="19" t="str">
        <x:v>成品放置与出料</x:v>
      </x:c>
      <x:c r="C15" s="19" t="str">
        <x:v>成品已灌装、封口、液位复检、喷码与贴标；松夹后出料完成位与传感器=1</x:v>
      </x:c>
      <x:c r="D15" s="19" t="str">
        <x:v>Outfeed20ms/4000ms；出料传感器100ms/5000ms；移动20ms/4000ms</x:v>
      </x:c>
      <x:c r="E15" s="19" t="str">
        <x:v>OUTFEED_TIMEOUT；OUT_SENSOR_TIMEOUT；MOTION_TIMEOUT；模型另检UNFINISHED_RELEASE/UNLABELLED_RELEASE/UNLABELLED_OUTPUT</x:v>
      </x:c>
      <x:c r="F15" s="19" t="str">
        <x:v>失败记录error并结束模拟场景；不表示物理安全停机或自动恢复</x:v>
      </x:c>
      <x:c r="G15" s="19" t="str">
        <x:v>candidate:layered/L3_group/step_10_finished_product_discharge.group.json</x:v>
      </x:c>
    </x:row>
    <x:row r="16" ht="34.5" customHeight="1">
      <x:c r="A16" s="15" t="str">
        <x:v>11</x:v>
      </x:c>
      <x:c r="B16" s="15" t="str">
        <x:v>CIP清洗</x:v>
      </x:c>
      <x:c r="C16" s="15" t="str">
        <x:v>全部12瓶已出料且无持瓶；循环&gt;=120000ms、排水&gt;=30000ms、清水&gt;=20000ms；压力&gt;=0.3MPa；停泵后清水</x:v>
      </x:c>
      <x:c r="D16" s="15" t="str">
        <x:v>显式120000+30000+20000ms</x:v>
      </x:c>
      <x:c r="E16" s="15" t="str">
        <x:v>CIP_PRESSURE_LOW；模型另检CIP_SEQUENCE/CIP_DURATION/CIP_INCOMPLETE</x:v>
      </x:c>
      <x:c r="F16" s="15" t="str">
        <x:v>失败记录error并结束模拟场景；不表示物理安全停机或自动恢复</x:v>
      </x:c>
      <x:c r="G16" s="15" t="str">
        <x:v>candidate:layered/L3_group/step_11_cip_cleaning_sanitizing.group.json</x:v>
      </x:c>
    </x:row>
    <x:row r="17" ht="34.5" customHeight="1">
      <x:c r="A17" s="19" t="str">
        <x:v>12</x:v>
      </x:c>
      <x:c r="B17" s="19" t="str">
        <x:v>回原点与待机</x:v>
      </x:c>
      <x:c r="C17" s="19" t="str">
        <x:v>CIP完成；定位四轴PR0；无待完成动作、无持瓶且所有输出关闭；报警=0</x:v>
      </x:c>
      <x:c r="D17" s="19" t="str">
        <x:v>四轴20ms/4000ms；无额外稳定timer</x:v>
      </x:c>
      <x:c r="E17" s="19" t="str">
        <x:v>HOME_TIMEOUT；X_ALARM/Y_ALARM/Y_ALARM_Y2/Z_ALARM；模型另检FINAL_STATE/HOME_POSITION</x:v>
      </x:c>
      <x:c r="F17" s="19" t="str">
        <x:v>失败记录error并结束模拟场景；不表示物理安全停机或自动恢复</x:v>
      </x:c>
      <x:c r="G17" s="19" t="str">
        <x:v>candidate:layered/L3_group/step_12_homing_standby.group.json</x:v>
      </x:c>
    </x:row>
    <x:row r="18" ht="22.5" customHeight="1">
      <x:c r="A18" s="15" t="str">
        <x:v>故障注入</x:v>
      </x:c>
      <x:c r="B18" s="15" t="str">
        <x:v>infeed_jam</x:v>
      </x:c>
      <x:c r="C18" s="15" t="str">
        <x:v>返回预期错误码</x:v>
      </x:c>
      <x:c r="D18" s="15" t="str">
        <x:v>模型确定性注入</x:v>
      </x:c>
      <x:c r="E18" s="15" t="str">
        <x:v>EMPTY_FEED_TIMEOUT</x:v>
      </x:c>
      <x:c r="F18" s="15" t="str">
        <x:v>单体与四层故障轨迹逐条比较</x:v>
      </x:c>
      <x:c r="G18" s="15" t="str">
        <x:v>scripts/simulate_beverage_full.py:FAULTS</x:v>
      </x:c>
    </x:row>
    <x:row r="19" ht="22.5" customHeight="1">
      <x:c r="A19" s="19" t="str">
        <x:v>故障注入</x:v>
      </x:c>
      <x:c r="B19" s="19" t="str">
        <x:v>fill_offline</x:v>
      </x:c>
      <x:c r="C19" s="19" t="str">
        <x:v>返回预期错误码</x:v>
      </x:c>
      <x:c r="D19" s="19" t="str">
        <x:v>模型确定性注入</x:v>
      </x:c>
      <x:c r="E19" s="19" t="str">
        <x:v>COMM_OFFLINE</x:v>
      </x:c>
      <x:c r="F19" s="19" t="str">
        <x:v>单体与四层故障轨迹逐条比较</x:v>
      </x:c>
      <x:c r="G19" s="19" t="str">
        <x:v>scripts/simulate_beverage_full.py:FAULTS</x:v>
      </x:c>
    </x:row>
    <x:row r="20" ht="22.5" customHeight="1">
      <x:c r="A20" s="15" t="str">
        <x:v>故障注入</x:v>
      </x:c>
      <x:c r="B20" s="15" t="str">
        <x:v>closure_jam</x:v>
      </x:c>
      <x:c r="C20" s="15" t="str">
        <x:v>返回预期错误码</x:v>
      </x:c>
      <x:c r="D20" s="15" t="str">
        <x:v>模型确定性注入</x:v>
      </x:c>
      <x:c r="E20" s="15" t="str">
        <x:v>CLOSURE_TIMEOUT</x:v>
      </x:c>
      <x:c r="F20" s="15" t="str">
        <x:v>单体与四层故障轨迹逐条比较</x:v>
      </x:c>
      <x:c r="G20" s="15" t="str">
        <x:v>scripts/simulate_beverage_full.py:FAULTS</x:v>
      </x:c>
    </x:row>
    <x:row r="21" ht="22.5" customHeight="1">
      <x:c r="A21" s="19" t="str">
        <x:v>故障注入</x:v>
      </x:c>
      <x:c r="B21" s="19" t="str">
        <x:v>axis_alarm</x:v>
      </x:c>
      <x:c r="C21" s="19" t="str">
        <x:v>返回预期错误码</x:v>
      </x:c>
      <x:c r="D21" s="19" t="str">
        <x:v>模型确定性注入</x:v>
      </x:c>
      <x:c r="E21" s="19" t="str">
        <x:v>X_ALARM</x:v>
      </x:c>
      <x:c r="F21" s="19" t="str">
        <x:v>单体与四层故障轨迹逐条比较</x:v>
      </x:c>
      <x:c r="G21" s="19" t="str">
        <x:v>scripts/simulate_beverage_full.py:FAULTS</x:v>
      </x:c>
    </x:row>
    <x:row r="22" ht="22.5" customHeight="1">
      <x:c r="A22" s="15" t="str">
        <x:v>故障注入</x:v>
      </x:c>
      <x:c r="B22" s="15" t="str">
        <x:v>rinse_pressure_low</x:v>
      </x:c>
      <x:c r="C22" s="15" t="str">
        <x:v>返回预期错误码</x:v>
      </x:c>
      <x:c r="D22" s="15" t="str">
        <x:v>模型确定性注入</x:v>
      </x:c>
      <x:c r="E22" s="15" t="str">
        <x:v>RINSE_PRESSURE_LOW</x:v>
      </x:c>
      <x:c r="F22" s="15" t="str">
        <x:v>单体与四层故障轨迹逐条比较</x:v>
      </x:c>
      <x:c r="G22" s="15" t="str">
        <x:v>scripts/simulate_beverage_full.py:FAULTS</x:v>
      </x:c>
    </x:row>
    <x:row r="23" ht="22.5" customHeight="1">
      <x:c r="A23" s="19" t="str">
        <x:v>故障注入</x:v>
      </x:c>
      <x:c r="B23" s="19" t="str">
        <x:v>fill_pressure_low</x:v>
      </x:c>
      <x:c r="C23" s="19" t="str">
        <x:v>返回预期错误码</x:v>
      </x:c>
      <x:c r="D23" s="19" t="str">
        <x:v>模型确定性注入</x:v>
      </x:c>
      <x:c r="E23" s="19" t="str">
        <x:v>FILL_PRESSURE_LOW</x:v>
      </x:c>
      <x:c r="F23" s="19" t="str">
        <x:v>单体与四层故障轨迹逐条比较</x:v>
      </x:c>
      <x:c r="G23" s="19" t="str">
        <x:v>scripts/simulate_beverage_full.py:FAULTS</x:v>
      </x:c>
    </x:row>
    <x:row r="24" ht="22.5" customHeight="1">
      <x:c r="A24" s="15" t="str">
        <x:v>故障注入</x:v>
      </x:c>
      <x:c r="B24" s="15" t="str">
        <x:v>low_flow</x:v>
      </x:c>
      <x:c r="C24" s="15" t="str">
        <x:v>返回预期错误码</x:v>
      </x:c>
      <x:c r="D24" s="15" t="str">
        <x:v>模型确定性注入</x:v>
      </x:c>
      <x:c r="E24" s="15" t="str">
        <x:v>FLOW_NOT_REACHED</x:v>
      </x:c>
      <x:c r="F24" s="15" t="str">
        <x:v>单体与四层故障轨迹逐条比较</x:v>
      </x:c>
      <x:c r="G24" s="15" t="str">
        <x:v>scripts/simulate_beverage_full.py:FAULTS</x:v>
      </x:c>
    </x:row>
    <x:row r="25" ht="22.5" customHeight="1">
      <x:c r="A25" s="19" t="str">
        <x:v>故障注入</x:v>
      </x:c>
      <x:c r="B25" s="19" t="str">
        <x:v>level_fault</x:v>
      </x:c>
      <x:c r="C25" s="19" t="str">
        <x:v>返回预期错误码</x:v>
      </x:c>
      <x:c r="D25" s="19" t="str">
        <x:v>模型确定性注入</x:v>
      </x:c>
      <x:c r="E25" s="19" t="str">
        <x:v>RECHECK1_FAIL</x:v>
      </x:c>
      <x:c r="F25" s="19" t="str">
        <x:v>单体与四层故障轨迹逐条比较</x:v>
      </x:c>
      <x:c r="G25" s="19" t="str">
        <x:v>scripts/simulate_beverage_full.py:FAULTS</x:v>
      </x:c>
    </x:row>
    <x:row r="26" ht="22.5" customHeight="1">
      <x:c r="A26" s="15" t="str">
        <x:v>故障注入</x:v>
      </x:c>
      <x:c r="B26" s="15" t="str">
        <x:v>torque_low</x:v>
      </x:c>
      <x:c r="C26" s="15" t="str">
        <x:v>返回预期错误码</x:v>
      </x:c>
      <x:c r="D26" s="15" t="str">
        <x:v>模型确定性注入</x:v>
      </x:c>
      <x:c r="E26" s="15" t="str">
        <x:v>TORQUE_LOW</x:v>
      </x:c>
      <x:c r="F26" s="15" t="str">
        <x:v>单体与四层故障轨迹逐条比较</x:v>
      </x:c>
      <x:c r="G26" s="15" t="str">
        <x:v>scripts/simulate_beverage_full.py:FAULTS</x:v>
      </x:c>
    </x:row>
    <x:row r="27" ht="22.5" customHeight="1">
      <x:c r="A27" s="19" t="str">
        <x:v>故障注入</x:v>
      </x:c>
      <x:c r="B27" s="19" t="str">
        <x:v>coding_timeout</x:v>
      </x:c>
      <x:c r="C27" s="19" t="str">
        <x:v>返回预期错误码</x:v>
      </x:c>
      <x:c r="D27" s="19" t="str">
        <x:v>模型确定性注入</x:v>
      </x:c>
      <x:c r="E27" s="19" t="str">
        <x:v>CODE_POS_TIMEOUT</x:v>
      </x:c>
      <x:c r="F27" s="19" t="str">
        <x:v>单体与四层故障轨迹逐条比较</x:v>
      </x:c>
      <x:c r="G27" s="19" t="str">
        <x:v>scripts/simulate_beverage_full.py:FAULTS</x:v>
      </x:c>
    </x:row>
    <x:row r="28" ht="22.5" customHeight="1">
      <x:c r="A28" s="15" t="str">
        <x:v>故障注入</x:v>
      </x:c>
      <x:c r="B28" s="15" t="str">
        <x:v>cip_pressure_low</x:v>
      </x:c>
      <x:c r="C28" s="15" t="str">
        <x:v>返回预期错误码</x:v>
      </x:c>
      <x:c r="D28" s="15" t="str">
        <x:v>模型确定性注入</x:v>
      </x:c>
      <x:c r="E28" s="15" t="str">
        <x:v>CIP_PRESSURE_LOW</x:v>
      </x:c>
      <x:c r="F28" s="15" t="str">
        <x:v>单体与四层故障轨迹逐条比较</x:v>
      </x:c>
      <x:c r="G28" s="15" t="str">
        <x:v>scripts/simulate_beverage_full.py:FAULTS</x:v>
      </x:c>
    </x:row>
    <x:row r="29" ht="22.5" customHeight="1">
      <x:c r="A29" s="19" t="str">
        <x:v>范围</x:v>
      </x:c>
      <x:c r="B29" s="19" t="str">
        <x:v>包装</x:v>
      </x:c>
      <x:c r="C29" s="19" t="str">
        <x:v>未实现装箱/封箱/码垛及包装设备/点位</x:v>
      </x:c>
      <x:c r="D29" s="19" t="str"/>
      <x:c r="E29" s="19" t="str"/>
      <x:c r="F29" s="19" t="str">
        <x:v>阶段10只包含成品放置和出料</x:v>
      </x:c>
      <x:c r="G29" s="19" t="str">
        <x:v>完整配置与模拟器审计</x:v>
      </x:c>
    </x:row>
    <x:row r="30" ht="22.5" customHeight="1">
      <x:c r="A30" s="15" t="str">
        <x:v>范围</x:v>
      </x:c>
      <x:c r="B30" s="15" t="str">
        <x:v>物理坐标</x:v>
      </x:c>
      <x:c r="C30" s="15" t="str">
        <x:v>PR来自给定模拟调试数据</x:v>
      </x:c>
      <x:c r="D30" s="15" t="str"/>
      <x:c r="E30" s="15" t="str"/>
      <x:c r="F30" s="15" t="str">
        <x:v>未建模物理碰撞、急停、Y轴同步或标定</x:v>
      </x:c>
      <x:c r="G30" s="15" t="str">
        <x:v>scripts/simulate_beverage_suite.py</x:v>
      </x:c>
    </x:row>
    <x:row r="31" ht="22.5" customHeight="1">
      <x:c r="A31" s="19" t="str">
        <x:v>范围</x:v>
      </x:c>
      <x:c r="B31" s="19" t="str">
        <x:v>输入来源</x:v>
      </x:c>
      <x:c r="C31" s="19" t="str">
        <x:v>Excel为事后完整工艺说明</x:v>
      </x:c>
      <x:c r="D31" s="19" t="str"/>
      <x:c r="E31" s="19" t="str"/>
      <x:c r="F31" s="19" t="str">
        <x:v>未替换或改写历史输入；不声称历史模型实际读取Excel</x:v>
      </x:c>
      <x:c r="G31" s="19" t="str">
        <x:v>examples/beverage_nl_extension/provenance.json</x:v>
      </x:c>
    </x:row>
  </x:sheetData>
  <x:pageMargins left="0.7" right="0.7" top="0.75" bottom="0.75" header="0.3" footer="0.3"/>
  <x:tableParts count="1">
    <x:tablePart xmlns:r="http://schemas.openxmlformats.org/officeDocument/2006/relationships" r:id="R6fe01d6340a94c6a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1.25" hidden="0" customWidth="1"/>
    <x:col min="2" max="2" width="17.5" hidden="0" customWidth="1"/>
    <x:col min="3" max="3" width="17.5" hidden="0" customWidth="1"/>
    <x:col min="4" max="4" width="17.5" hidden="0" customWidth="1"/>
    <x:col min="5" max="5" width="106.25" hidden="0" customWidth="1"/>
  </x:cols>
  <x:sheetData>
    <x:row r="1" ht="21" customHeight="1">
      <x:c r="A1" s="2"/>
      <x:c r="B1" s="2"/>
      <x:c r="C1" s="2"/>
      <x:c r="D1" s="2"/>
      <x:c r="E1" s="2"/>
    </x:row>
    <x:row r="2" ht="25.5" customHeight="1">
      <x:c r="A2" s="4" t="str">
        <x:v>统一四空格JSON格式下的维护规模</x:v>
      </x:c>
      <x:c r="B2" s="5"/>
      <x:c r="C2" s="5"/>
      <x:c r="D2" s="5"/>
      <x:c r="E2" s="5"/>
    </x:row>
    <x:row r="3" ht="21" customHeight="1">
      <x:c r="A3" s="6" t="str">
        <x:v>不展开批次循环；完整方案计入共享配置和辅助表。减少比例=1−四层/单体；净增行数不是人类工时。Excel/说明文档不是运行配置，未加入配置行数。</x:v>
      </x:c>
      <x:c r="B3" s="2"/>
      <x:c r="C3" s="2"/>
      <x:c r="D3" s="2"/>
      <x:c r="E3" s="2"/>
    </x:row>
    <x:row r="4" ht="21" customHeight="1">
      <x:c r="A4" s="2"/>
      <x:c r="B4" s="2"/>
      <x:c r="C4" s="2"/>
      <x:c r="D4" s="2"/>
      <x:c r="E4" s="2"/>
    </x:row>
    <x:row r="5" ht="31.5" customHeight="1">
      <x:c r="A5" s="11" t="str">
        <x:v>对象</x:v>
      </x:c>
      <x:c r="B5" s="12" t="str">
        <x:v>原始JSON</x:v>
      </x:c>
      <x:c r="C5" s="12" t="str">
        <x:v>四层配置</x:v>
      </x:c>
      <x:c r="D5" s="12" t="str">
        <x:v>减少比例</x:v>
      </x:c>
      <x:c r="E5" s="13" t="str">
        <x:v>说明</x:v>
      </x:c>
    </x:row>
    <x:row r="6" ht="22.5" customHeight="1">
      <x:c r="A6" s="15" t="str">
        <x:v>六配方完整配置</x:v>
      </x:c>
      <x:c r="B6" s="17" t="n">
        <x:v>30893</x:v>
      </x:c>
      <x:c r="C6" s="17" t="n">
        <x:v>4500</x:v>
      </x:c>
      <x:c r="D6" s="20" t="n">
        <x:f>1-C6/B6</x:f>
        <x:v>0.8543359337066649</x:v>
      </x:c>
      <x:c r="E6" s="15" t="str">
        <x:v>单体=六份完整JSON+设备表；四层=全部L1/L2/L3/L4+设备表+点位/配方/变量表</x:v>
      </x:c>
    </x:row>
    <x:row r="7" ht="22.5" customHeight="1">
      <x:c r="A7" s="19" t="str">
        <x:v>九配方完整配置</x:v>
      </x:c>
      <x:c r="B7" s="18" t="n">
        <x:v>46295</x:v>
      </x:c>
      <x:c r="C7" s="18" t="n">
        <x:v>4728</x:v>
      </x:c>
      <x:c r="D7" s="21" t="n">
        <x:f>1-C7/B7</x:f>
        <x:v>0.8978723404255319</x:v>
      </x:c>
      <x:c r="E7" s="19" t="str">
        <x:v>单体追加三份冻结参考JSON；四层candidate由原始模型响应应用得到</x:v>
      </x:c>
    </x:row>
    <x:row r="8" ht="22.5" customHeight="1">
      <x:c r="A8" s="15" t="str">
        <x:v>新增250mL三口味净增</x:v>
      </x:c>
      <x:c r="B8" s="17" t="n">
        <x:v>15402</x:v>
      </x:c>
      <x:c r="C8" s="17" t="n">
        <x:v>228</x:v>
      </x:c>
      <x:c r="D8" s="20" t="n">
        <x:f>1-C8/B8</x:f>
        <x:v>0.9851967276977016</x:v>
      </x:c>
      <x:c r="E8" s="15" t="str">
        <x:v>四层新L4共45行+系统变量净增183行；L3上限1→2为等长替换</x:v>
      </x:c>
    </x:row>
    <x:row r="9" ht="22.5" customHeight="1">
      <x:c r="A9" s="19" t="str">
        <x:v>每个新增生产入口</x:v>
      </x:c>
      <x:c r="B9" s="18" t="n">
        <x:v>5134</x:v>
      </x:c>
      <x:c r="C9" s="18" t="n">
        <x:v>15</x:v>
      </x:c>
      <x:c r="D9" s="21" t="n">
        <x:f>1-C9/B9</x:f>
        <x:v>0.9970783015192832</x:v>
      </x:c>
      <x:c r="E9" s="19" t="str">
        <x:v>单体每份5134行；单个L4为15行，仅此行不含共享表，完整增量见上一行</x:v>
      </x:c>
    </x:row>
  </x:sheetData>
  <x:pageMargins left="0.7" right="0.7" top="0.75" bottom="0.75" header="0.3" footer="0.3"/>
  <x:tableParts count="1">
    <x:tablePart xmlns:r="http://schemas.openxmlformats.org/officeDocument/2006/relationships" r:id="R7710fca29f624687"/>
  </x:tableParts>
</x:worksheet>
</file>